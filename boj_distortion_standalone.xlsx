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analysis" sheetId="2" state="visible" r:id="rId2"/>
    <sheet name="スポット→BOJ" sheetId="3" state="visible" r:id="rId3"/>
    <sheet name="利上げパ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/MM/DD"/>
    <numFmt numFmtId="165" formatCode="0.000%"/>
    <numFmt numFmtId="166" formatCode="0.0000%"/>
    <numFmt numFmtId="167" formatCode="0.0000000"/>
    <numFmt numFmtId="168" formatCode="+0.0000%;-0.0000%;0.0000%"/>
    <numFmt numFmtId="169" formatCode="+0.00;-0.00;0.00"/>
    <numFmt numFmtId="170" formatCode="0.000000"/>
    <numFmt numFmtId="171" formatCode="0.0"/>
  </numFmts>
  <fonts count="1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C00000"/>
      <sz val="10"/>
    </font>
    <font>
      <i val="1"/>
      <color rgb="00595959"/>
      <sz val="9"/>
    </font>
    <font>
      <b val="1"/>
      <color rgb="00FFFFFF"/>
      <sz val="11"/>
    </font>
    <font>
      <b val="1"/>
      <color rgb="00FFFFFF"/>
      <sz val="10"/>
    </font>
    <font>
      <color rgb="00000000"/>
      <sz val="10"/>
    </font>
    <font>
      <color rgb="00595959"/>
      <sz val="9"/>
    </font>
    <font>
      <b val="1"/>
      <color rgb="00FFFFFF"/>
      <sz val="13"/>
    </font>
    <font>
      <b val="1"/>
      <color rgb="00000000"/>
      <sz val="11"/>
    </font>
    <font>
      <color rgb="00404040"/>
      <sz val="10"/>
    </font>
    <font>
      <name val="Meiryo UI"/>
      <b val="1"/>
      <color rgb="00FFFFFF"/>
      <sz val="13"/>
    </font>
    <font>
      <name val="Meiryo UI"/>
      <color rgb="00595959"/>
      <sz val="9"/>
    </font>
    <font>
      <name val="Meiryo UI"/>
      <b val="1"/>
      <sz val="10"/>
    </font>
    <font>
      <name val="Meiryo UI"/>
      <b val="1"/>
      <color rgb="00FFFFFF"/>
      <sz val="10"/>
    </font>
    <font>
      <name val="Meiryo UI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699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E2EFDA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164" fontId="0" fillId="4" borderId="0" pivotButton="0" quotePrefix="0" xfId="0"/>
    <xf numFmtId="0" fontId="3" fillId="0" borderId="0" pivotButton="0" quotePrefix="0" xfId="0"/>
    <xf numFmtId="0" fontId="4" fillId="5" borderId="0" applyAlignment="1" pivotButton="0" quotePrefix="0" xfId="0">
      <alignment horizontal="center"/>
    </xf>
    <xf numFmtId="0" fontId="5" fillId="5" borderId="1" applyAlignment="1" pivotButton="0" quotePrefix="0" xfId="0">
      <alignment horizontal="center" wrapText="1"/>
    </xf>
    <xf numFmtId="0" fontId="6" fillId="0" borderId="1" pivotButton="0" quotePrefix="0" xfId="0"/>
    <xf numFmtId="165" fontId="0" fillId="4" borderId="1" pivotButton="0" quotePrefix="0" xfId="0"/>
    <xf numFmtId="164" fontId="0" fillId="4" borderId="1" pivotButton="0" quotePrefix="0" xfId="0"/>
    <xf numFmtId="0" fontId="0" fillId="6" borderId="1" pivotButton="0" quotePrefix="0" xfId="0"/>
    <xf numFmtId="0" fontId="7" fillId="0" borderId="1" pivotButton="0" quotePrefix="0" xfId="0"/>
    <xf numFmtId="0" fontId="5" fillId="5" borderId="1" applyAlignment="1" pivotButton="0" quotePrefix="0" xfId="0">
      <alignment horizontal="center"/>
    </xf>
    <xf numFmtId="0" fontId="0" fillId="4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8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9" fillId="7" borderId="0" pivotButton="0" quotePrefix="0" xfId="0"/>
    <xf numFmtId="0" fontId="9" fillId="0" borderId="1" pivotButton="0" quotePrefix="0" xfId="0"/>
    <xf numFmtId="164" fontId="0" fillId="6" borderId="1" pivotButton="0" quotePrefix="0" xfId="0"/>
    <xf numFmtId="166" fontId="0" fillId="6" borderId="1" pivotButton="0" quotePrefix="0" xfId="0"/>
    <xf numFmtId="167" fontId="0" fillId="6" borderId="1" pivotButton="0" quotePrefix="0" xfId="0"/>
    <xf numFmtId="166" fontId="0" fillId="4" borderId="1" pivotButton="0" quotePrefix="0" xfId="0"/>
    <xf numFmtId="168" fontId="0" fillId="6" borderId="1" pivotButton="0" quotePrefix="0" xfId="0"/>
    <xf numFmtId="169" fontId="0" fillId="6" borderId="1" pivotButton="0" quotePrefix="0" xfId="0"/>
    <xf numFmtId="0" fontId="6" fillId="0" borderId="0" pivotButton="0" quotePrefix="0" xfId="0"/>
    <xf numFmtId="0" fontId="10" fillId="0" borderId="0" pivotButton="0" quotePrefix="0" xfId="0"/>
    <xf numFmtId="164" fontId="0" fillId="4" borderId="0" pivotButton="0" quotePrefix="0" xfId="0"/>
    <xf numFmtId="165" fontId="0" fillId="4" borderId="1" pivotButton="0" quotePrefix="0" xfId="0"/>
    <xf numFmtId="164" fontId="0" fillId="4" borderId="1" pivotButton="0" quotePrefix="0" xfId="0"/>
    <xf numFmtId="164" fontId="0" fillId="0" borderId="0" pivotButton="0" quotePrefix="0" xfId="0"/>
    <xf numFmtId="164" fontId="0" fillId="6" borderId="1" pivotButton="0" quotePrefix="0" xfId="0"/>
    <xf numFmtId="166" fontId="0" fillId="6" borderId="1" pivotButton="0" quotePrefix="0" xfId="0"/>
    <xf numFmtId="167" fontId="0" fillId="6" borderId="1" pivotButton="0" quotePrefix="0" xfId="0"/>
    <xf numFmtId="166" fontId="0" fillId="4" borderId="1" pivotButton="0" quotePrefix="0" xfId="0"/>
    <xf numFmtId="168" fontId="0" fillId="6" borderId="1" pivotButton="0" quotePrefix="0" xfId="0"/>
    <xf numFmtId="169" fontId="0" fillId="6" borderId="1" pivotButton="0" quotePrefix="0" xfId="0"/>
    <xf numFmtId="0" fontId="11" fillId="8" borderId="2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/>
    </xf>
    <xf numFmtId="0" fontId="13" fillId="7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4" fillId="8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164" fontId="0" fillId="9" borderId="2" applyAlignment="1" pivotButton="0" quotePrefix="0" xfId="0">
      <alignment horizontal="center" vertical="center" wrapText="1"/>
    </xf>
    <xf numFmtId="1" fontId="0" fillId="9" borderId="2" applyAlignment="1" pivotButton="0" quotePrefix="0" xfId="0">
      <alignment horizontal="center" vertical="center" wrapText="1"/>
    </xf>
    <xf numFmtId="166" fontId="0" fillId="9" borderId="2" applyAlignment="1" pivotButton="0" quotePrefix="0" xfId="0">
      <alignment horizontal="center" vertical="center" wrapText="1"/>
    </xf>
    <xf numFmtId="170" fontId="0" fillId="9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center" vertical="center" wrapText="1"/>
    </xf>
    <xf numFmtId="166" fontId="0" fillId="4" borderId="2" applyAlignment="1" pivotButton="0" quotePrefix="0" xfId="0">
      <alignment horizontal="center" vertical="center" wrapText="1"/>
    </xf>
    <xf numFmtId="171" fontId="0" fillId="9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1" fontId="0" fillId="4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/>
    </xf>
    <xf numFmtId="0" fontId="13" fillId="7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7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OIS曲線: インプライドスポット vs 実スポット金利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'analysis'!K18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'analysis'!$J$19:$J$31</f>
            </numRef>
          </cat>
          <val>
            <numRef>
              <f>'analysis'!$K$19:$K$31</f>
            </numRef>
          </val>
        </ser>
        <ser>
          <idx val="1"/>
          <order val="1"/>
          <tx>
            <strRef>
              <f>'analysis'!L18</f>
            </strRef>
          </tx>
          <spPr>
            <a:ln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'analysis'!$J$19:$J$31</f>
            </numRef>
          </cat>
          <val>
            <numRef>
              <f>'analysis'!$L$19:$L$31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テナー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金利 (小数表示)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歪み: 実スポット − インプライドスポット (bps)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'analysis'!M18</f>
            </strRef>
          </tx>
          <spPr>
            <a:solidFill>
              <a:srgbClr val="ED7D31"/>
            </a:solidFill>
            <a:ln>
              <a:prstDash val="solid"/>
            </a:ln>
          </spPr>
          <cat>
            <numRef>
              <f>'analysis'!$J$19:$J$31</f>
            </numRef>
          </cat>
          <val>
            <numRef>
              <f>'analysis'!$M$19:$M$31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テナー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18</row>
      <rowOff>0</rowOff>
    </from>
    <ext cx="792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18" customWidth="1" min="4" max="4"/>
    <col width="28" customWidth="1" min="5" max="5"/>
  </cols>
  <sheetData>
    <row r="1" ht="22" customHeight="1">
      <c r="A1" s="1" t="inlineStr">
        <is>
          <t>BOJ Swap Distortion – データ入力シート（黄色セル = LSEG RTDフィード）</t>
        </is>
      </c>
    </row>
    <row r="2">
      <c r="A2" s="2" t="inlineStr">
        <is>
          <t>⚠ 現在はダミーデータです。LSEGのRTD / Add-in でValue列を自動更新してください。</t>
        </is>
      </c>
    </row>
    <row r="4">
      <c r="A4" t="inlineStr">
        <is>
          <t>トレード日</t>
        </is>
      </c>
      <c r="B4" s="28" t="n">
        <v>46103</v>
      </c>
    </row>
    <row r="5">
      <c r="A5" t="inlineStr">
        <is>
          <t>スポット日（T+2BD）</t>
        </is>
      </c>
      <c r="B5" s="28" t="n">
        <v>46107</v>
      </c>
      <c r="C5" s="4" t="inlineStr">
        <is>
          <t>※ 実際はT+2BD、土日祝考慮。手動更新</t>
        </is>
      </c>
    </row>
    <row r="7">
      <c r="A7" s="5" t="inlineStr">
        <is>
          <t>■ BOJスワップ フォワード金利（JPBOJ1-8ONI=TRDT）</t>
        </is>
      </c>
    </row>
    <row r="8" ht="28" customHeight="1">
      <c r="A8" s="6" t="inlineStr">
        <is>
          <t>LSEGティッカー</t>
        </is>
      </c>
      <c r="B8" s="6" t="inlineStr">
        <is>
          <t>フォワード金利（%）</t>
        </is>
      </c>
      <c r="C8" s="6" t="inlineStr">
        <is>
          <t>MPM実効日（ダミー）</t>
        </is>
      </c>
      <c r="D8" s="6" t="inlineStr">
        <is>
          <t>累積日数
Spot→MPM_i</t>
        </is>
      </c>
      <c r="E8" s="6" t="inlineStr">
        <is>
          <t>備考（MPM会合日）</t>
        </is>
      </c>
    </row>
    <row r="9">
      <c r="A9" s="7" t="inlineStr">
        <is>
          <t>JPBOJ1ONI=TRDT</t>
        </is>
      </c>
      <c r="B9" s="29" t="n">
        <v>0.00495</v>
      </c>
      <c r="C9" s="30" t="n">
        <v>46141</v>
      </c>
      <c r="D9" s="10">
        <f>C9-$B$5</f>
        <v/>
      </c>
      <c r="E9" s="11" t="inlineStr">
        <is>
          <t>会合1: 2026/04/28 → 実効日:2026/04/29</t>
        </is>
      </c>
    </row>
    <row r="10">
      <c r="A10" s="7" t="inlineStr">
        <is>
          <t>JPBOJ2ONI=TRDT</t>
        </is>
      </c>
      <c r="B10" s="29" t="n">
        <v>0.005</v>
      </c>
      <c r="C10" s="30" t="n">
        <v>46190</v>
      </c>
      <c r="D10" s="10">
        <f>C10-$B$5</f>
        <v/>
      </c>
      <c r="E10" s="11" t="inlineStr">
        <is>
          <t>会合2: 2026/06/16 → 実効日:2026/06/17</t>
        </is>
      </c>
    </row>
    <row r="11">
      <c r="A11" s="7" t="inlineStr">
        <is>
          <t>JPBOJ3ONI=TRDT</t>
        </is>
      </c>
      <c r="B11" s="29" t="n">
        <v>0.0051</v>
      </c>
      <c r="C11" s="30" t="n">
        <v>46235</v>
      </c>
      <c r="D11" s="10">
        <f>C11-$B$5</f>
        <v/>
      </c>
      <c r="E11" s="11" t="inlineStr">
        <is>
          <t>会合3: 2026/07/31 → 実効日:2026/08/01</t>
        </is>
      </c>
    </row>
    <row r="12">
      <c r="A12" s="7" t="inlineStr">
        <is>
          <t>JPBOJ4ONI=TRDT</t>
        </is>
      </c>
      <c r="B12" s="29" t="n">
        <v>0.0053</v>
      </c>
      <c r="C12" s="30" t="n">
        <v>46284</v>
      </c>
      <c r="D12" s="10">
        <f>C12-$B$5</f>
        <v/>
      </c>
      <c r="E12" s="11" t="inlineStr">
        <is>
          <t>会合4: 2026/09/18 → 実効日:2026/09/19</t>
        </is>
      </c>
    </row>
    <row r="13">
      <c r="A13" s="7" t="inlineStr">
        <is>
          <t>JPBOJ5ONI=TRDT</t>
        </is>
      </c>
      <c r="B13" s="29" t="n">
        <v>0.00535</v>
      </c>
      <c r="C13" s="30" t="n">
        <v>46326</v>
      </c>
      <c r="D13" s="10">
        <f>C13-$B$5</f>
        <v/>
      </c>
      <c r="E13" s="11" t="inlineStr">
        <is>
          <t>会合5: 2026/10/30 → 実効日:2026/10/31</t>
        </is>
      </c>
    </row>
    <row r="14">
      <c r="A14" s="7" t="inlineStr">
        <is>
          <t>JPBOJ6ONI=TRDT</t>
        </is>
      </c>
      <c r="B14" s="29" t="n">
        <v>0.0057</v>
      </c>
      <c r="C14" s="30" t="n">
        <v>46375</v>
      </c>
      <c r="D14" s="10">
        <f>C14-$B$5</f>
        <v/>
      </c>
      <c r="E14" s="11" t="inlineStr">
        <is>
          <t>会合6: 2026/12/18 → 実効日:2026/12/19</t>
        </is>
      </c>
    </row>
    <row r="15">
      <c r="A15" s="7" t="inlineStr">
        <is>
          <t>JPBOJ7ONI=TRDT</t>
        </is>
      </c>
      <c r="B15" s="29" t="n">
        <v>0.0059</v>
      </c>
      <c r="C15" s="30" t="n">
        <v>46416</v>
      </c>
      <c r="D15" s="10">
        <f>C15-$B$5</f>
        <v/>
      </c>
      <c r="E15" s="11" t="inlineStr">
        <is>
          <t>会合7: 2027/01/28 → 実効日:2027/01/29</t>
        </is>
      </c>
    </row>
    <row r="16">
      <c r="A16" s="7" t="inlineStr">
        <is>
          <t>JPBOJ8ONI=TRDT</t>
        </is>
      </c>
      <c r="B16" s="29" t="n">
        <v>0.0062</v>
      </c>
      <c r="C16" s="30" t="n">
        <v>46465</v>
      </c>
      <c r="D16" s="10">
        <f>C16-$B$5</f>
        <v/>
      </c>
      <c r="E16" s="11" t="inlineStr">
        <is>
          <t>会合8: 2027/03/18 → 実効日:2027/03/19</t>
        </is>
      </c>
    </row>
    <row r="18">
      <c r="A18" s="5" t="inlineStr">
        <is>
          <t>■ スポット金利 直接クォート（JPYOIS1-12M, 15M = ICAP）</t>
        </is>
      </c>
    </row>
    <row r="19">
      <c r="A19" s="12" t="inlineStr">
        <is>
          <t>LSEGティッカー</t>
        </is>
      </c>
      <c r="B19" s="12" t="inlineStr">
        <is>
          <t>スポット金利（%）</t>
        </is>
      </c>
      <c r="C19" s="12" t="inlineStr">
        <is>
          <t>実日数（ACT/MF）</t>
        </is>
      </c>
      <c r="D19" s="12" t="inlineStr">
        <is>
          <t>テナー</t>
        </is>
      </c>
      <c r="E19" s="12" t="inlineStr">
        <is>
          <t>備考</t>
        </is>
      </c>
    </row>
    <row r="20">
      <c r="A20" s="7" t="inlineStr">
        <is>
          <t>JPYOIS1M=ICAP</t>
        </is>
      </c>
      <c r="B20" s="29" t="n">
        <v>0.00485</v>
      </c>
      <c r="C20" s="13" t="n">
        <v>31</v>
      </c>
      <c r="D20" s="14" t="inlineStr">
        <is>
          <t>1M</t>
        </is>
      </c>
      <c r="E20" s="15" t="inlineStr">
        <is>
          <t>← LSEGより（MF適用後の実日数）</t>
        </is>
      </c>
    </row>
    <row r="21">
      <c r="A21" s="7" t="inlineStr">
        <is>
          <t>JPYOIS2M=ICAP</t>
        </is>
      </c>
      <c r="B21" s="29" t="n">
        <v>0.0049</v>
      </c>
      <c r="C21" s="13" t="n">
        <v>62</v>
      </c>
      <c r="D21" s="14" t="inlineStr">
        <is>
          <t>2M</t>
        </is>
      </c>
      <c r="E21" s="15" t="inlineStr">
        <is>
          <t>← LSEGより（MF適用後の実日数）</t>
        </is>
      </c>
    </row>
    <row r="22">
      <c r="A22" s="7" t="inlineStr">
        <is>
          <t>JPYOIS3M=ICAP</t>
        </is>
      </c>
      <c r="B22" s="29" t="n">
        <v>0.00498</v>
      </c>
      <c r="C22" s="13" t="n">
        <v>91</v>
      </c>
      <c r="D22" s="14" t="inlineStr">
        <is>
          <t>3M</t>
        </is>
      </c>
      <c r="E22" s="15" t="inlineStr">
        <is>
          <t>← LSEGより（MF適用後の実日数）</t>
        </is>
      </c>
    </row>
    <row r="23">
      <c r="A23" s="7" t="inlineStr">
        <is>
          <t>JPYOIS4M=ICAP</t>
        </is>
      </c>
      <c r="B23" s="29" t="n">
        <v>0.0051</v>
      </c>
      <c r="C23" s="13" t="n">
        <v>122</v>
      </c>
      <c r="D23" s="14" t="inlineStr">
        <is>
          <t>4M</t>
        </is>
      </c>
      <c r="E23" s="15" t="inlineStr">
        <is>
          <t>← LSEGより（MF適用後の実日数）</t>
        </is>
      </c>
    </row>
    <row r="24">
      <c r="A24" s="7" t="inlineStr">
        <is>
          <t>JPYOIS5M=ICAP</t>
        </is>
      </c>
      <c r="B24" s="29" t="n">
        <v>0.0052</v>
      </c>
      <c r="C24" s="13" t="n">
        <v>153</v>
      </c>
      <c r="D24" s="14" t="inlineStr">
        <is>
          <t>5M</t>
        </is>
      </c>
      <c r="E24" s="15" t="inlineStr">
        <is>
          <t>← LSEGより（MF適用後の実日数）</t>
        </is>
      </c>
    </row>
    <row r="25">
      <c r="A25" s="7" t="inlineStr">
        <is>
          <t>JPYOIS6M=ICAP</t>
        </is>
      </c>
      <c r="B25" s="29" t="n">
        <v>0.00535</v>
      </c>
      <c r="C25" s="13" t="n">
        <v>184</v>
      </c>
      <c r="D25" s="14" t="inlineStr">
        <is>
          <t>6M</t>
        </is>
      </c>
      <c r="E25" s="15" t="inlineStr">
        <is>
          <t>← LSEGより（MF適用後の実日数）</t>
        </is>
      </c>
    </row>
    <row r="26">
      <c r="A26" s="7" t="inlineStr">
        <is>
          <t>JPYOIS7M=ICAP</t>
        </is>
      </c>
      <c r="B26" s="29" t="n">
        <v>0.00548</v>
      </c>
      <c r="C26" s="13" t="n">
        <v>214</v>
      </c>
      <c r="D26" s="14" t="inlineStr">
        <is>
          <t>7M</t>
        </is>
      </c>
      <c r="E26" s="15" t="inlineStr">
        <is>
          <t>← LSEGより（MF適用後の実日数）</t>
        </is>
      </c>
    </row>
    <row r="27">
      <c r="A27" s="7" t="inlineStr">
        <is>
          <t>JPYOIS8M=ICAP</t>
        </is>
      </c>
      <c r="B27" s="29" t="n">
        <v>0.00558</v>
      </c>
      <c r="C27" s="13" t="n">
        <v>245</v>
      </c>
      <c r="D27" s="14" t="inlineStr">
        <is>
          <t>8M</t>
        </is>
      </c>
      <c r="E27" s="15" t="inlineStr">
        <is>
          <t>← LSEGより（MF適用後の実日数）</t>
        </is>
      </c>
    </row>
    <row r="28">
      <c r="A28" s="7" t="inlineStr">
        <is>
          <t>JPYOIS9M=ICAP</t>
        </is>
      </c>
      <c r="B28" s="29" t="n">
        <v>0.00565</v>
      </c>
      <c r="C28" s="13" t="n">
        <v>275</v>
      </c>
      <c r="D28" s="14" t="inlineStr">
        <is>
          <t>9M</t>
        </is>
      </c>
      <c r="E28" s="15" t="inlineStr">
        <is>
          <t>← LSEGより（MF適用後の実日数）</t>
        </is>
      </c>
    </row>
    <row r="29">
      <c r="A29" s="7" t="inlineStr">
        <is>
          <t>JPYOIS10M=ICAP</t>
        </is>
      </c>
      <c r="B29" s="29" t="n">
        <v>0.0057</v>
      </c>
      <c r="C29" s="13" t="n">
        <v>306</v>
      </c>
      <c r="D29" s="14" t="inlineStr">
        <is>
          <t>10M</t>
        </is>
      </c>
      <c r="E29" s="15" t="inlineStr">
        <is>
          <t>← LSEGより（MF適用後の実日数）</t>
        </is>
      </c>
    </row>
    <row r="30">
      <c r="A30" s="7" t="inlineStr">
        <is>
          <t>JPYOIS11M=ICAP</t>
        </is>
      </c>
      <c r="B30" s="29" t="n">
        <v>0.00575</v>
      </c>
      <c r="C30" s="13" t="n">
        <v>337</v>
      </c>
      <c r="D30" s="14" t="inlineStr">
        <is>
          <t>11M</t>
        </is>
      </c>
      <c r="E30" s="15" t="inlineStr">
        <is>
          <t>← LSEGより（MF適用後の実日数）</t>
        </is>
      </c>
    </row>
    <row r="31">
      <c r="A31" s="7" t="inlineStr">
        <is>
          <t>JPY1YOIS=ICAP</t>
        </is>
      </c>
      <c r="B31" s="29" t="n">
        <v>0.0058</v>
      </c>
      <c r="C31" s="13" t="n">
        <v>368</v>
      </c>
      <c r="D31" s="14" t="inlineStr">
        <is>
          <t>12M</t>
        </is>
      </c>
      <c r="E31" s="15" t="inlineStr">
        <is>
          <t>← LSEGより（MF適用後の実日数）</t>
        </is>
      </c>
    </row>
    <row r="32">
      <c r="A32" s="7" t="inlineStr">
        <is>
          <t>JPYOIS15M=ICAP</t>
        </is>
      </c>
      <c r="B32" s="29" t="n">
        <v>0.00595</v>
      </c>
      <c r="C32" s="13" t="n">
        <v>459</v>
      </c>
      <c r="D32" s="14" t="inlineStr">
        <is>
          <t>15M</t>
        </is>
      </c>
      <c r="E32" s="15" t="inlineStr">
        <is>
          <t>← LSEGより（MF適用後の実日数）</t>
        </is>
      </c>
    </row>
  </sheetData>
  <mergeCells count="4">
    <mergeCell ref="A2:E2"/>
    <mergeCell ref="A1:E1"/>
    <mergeCell ref="A18:E18"/>
    <mergeCell ref="A7:E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8" customWidth="1" min="7" max="7"/>
    <col width="20" customWidth="1" min="8" max="8"/>
    <col hidden="1" width="13" customWidth="1" min="10" max="10"/>
    <col hidden="1" width="13" customWidth="1" min="11" max="11"/>
    <col hidden="1" width="13" customWidth="1" min="12" max="12"/>
    <col hidden="1" width="13" customWidth="1" min="13" max="13"/>
  </cols>
  <sheetData>
    <row r="1" ht="22" customHeight="1">
      <c r="A1" s="16" t="inlineStr">
        <is>
          <t>BOJスワップ → インプライドスポット金利 逆算・歪み分析</t>
        </is>
      </c>
    </row>
    <row r="3">
      <c r="A3" t="inlineStr">
        <is>
          <t>トレード日</t>
        </is>
      </c>
      <c r="B3" s="31">
        <f>data!B4</f>
        <v/>
      </c>
    </row>
    <row r="4">
      <c r="A4" t="inlineStr">
        <is>
          <t>スポット日</t>
        </is>
      </c>
      <c r="B4" s="31">
        <f>data!B5</f>
        <v/>
      </c>
    </row>
    <row r="6">
      <c r="A6" s="18" t="inlineStr">
        <is>
          <t>【Step 1】 ブートストラップ: BOJフォワード金利 → 累積FV（割引係数の逆数）</t>
        </is>
      </c>
    </row>
    <row r="7" ht="32" customHeight="1">
      <c r="A7" s="6" t="inlineStr">
        <is>
          <t>テナー</t>
        </is>
      </c>
      <c r="B7" s="6" t="inlineStr">
        <is>
          <t>MPM実効日</t>
        </is>
      </c>
      <c r="C7" s="6" t="inlineStr">
        <is>
          <t>累積日数
D_i</t>
        </is>
      </c>
      <c r="D7" s="6" t="inlineStr">
        <is>
          <t>期間日数
ΔD_i</t>
        </is>
      </c>
      <c r="E7" s="6" t="inlineStr">
        <is>
          <t>フォワードM_i
(小数)</t>
        </is>
      </c>
      <c r="F7" s="6" t="inlineStr">
        <is>
          <t>累積FV_i
=1/DF_i</t>
        </is>
      </c>
      <c r="G7" s="6" t="inlineStr">
        <is>
          <t>割引係数
DF_i</t>
        </is>
      </c>
      <c r="H7" s="6" t="inlineStr">
        <is>
          <t>ゼロレート検証
(FV_i-1)×365/D_i</t>
        </is>
      </c>
    </row>
    <row r="8">
      <c r="A8" s="19" t="inlineStr">
        <is>
          <t>M1</t>
        </is>
      </c>
      <c r="B8" s="32">
        <f>data!C9</f>
        <v/>
      </c>
      <c r="C8" s="10">
        <f>data!D9</f>
        <v/>
      </c>
      <c r="D8" s="10">
        <f>C8</f>
        <v/>
      </c>
      <c r="E8" s="33">
        <f>data!B9</f>
        <v/>
      </c>
      <c r="F8" s="34">
        <f>1+E8*D8/365</f>
        <v/>
      </c>
      <c r="G8" s="34">
        <f>1/F8</f>
        <v/>
      </c>
      <c r="H8" s="33">
        <f>(F8-1)*365/C8</f>
        <v/>
      </c>
    </row>
    <row r="9">
      <c r="A9" s="19" t="inlineStr">
        <is>
          <t>M2</t>
        </is>
      </c>
      <c r="B9" s="32">
        <f>data!C10</f>
        <v/>
      </c>
      <c r="C9" s="10">
        <f>data!D10</f>
        <v/>
      </c>
      <c r="D9" s="10">
        <f>C9-C8</f>
        <v/>
      </c>
      <c r="E9" s="33">
        <f>data!B10</f>
        <v/>
      </c>
      <c r="F9" s="34">
        <f>F8*(1+E9*D9/365)</f>
        <v/>
      </c>
      <c r="G9" s="34">
        <f>1/F9</f>
        <v/>
      </c>
      <c r="H9" s="33">
        <f>(F9-1)*365/C9</f>
        <v/>
      </c>
    </row>
    <row r="10">
      <c r="A10" s="19" t="inlineStr">
        <is>
          <t>M3</t>
        </is>
      </c>
      <c r="B10" s="32">
        <f>data!C11</f>
        <v/>
      </c>
      <c r="C10" s="10">
        <f>data!D11</f>
        <v/>
      </c>
      <c r="D10" s="10">
        <f>C10-C9</f>
        <v/>
      </c>
      <c r="E10" s="33">
        <f>data!B11</f>
        <v/>
      </c>
      <c r="F10" s="34">
        <f>F9*(1+E10*D10/365)</f>
        <v/>
      </c>
      <c r="G10" s="34">
        <f>1/F10</f>
        <v/>
      </c>
      <c r="H10" s="33">
        <f>(F10-1)*365/C10</f>
        <v/>
      </c>
    </row>
    <row r="11">
      <c r="A11" s="19" t="inlineStr">
        <is>
          <t>M4</t>
        </is>
      </c>
      <c r="B11" s="32">
        <f>data!C12</f>
        <v/>
      </c>
      <c r="C11" s="10">
        <f>data!D12</f>
        <v/>
      </c>
      <c r="D11" s="10">
        <f>C11-C10</f>
        <v/>
      </c>
      <c r="E11" s="33">
        <f>data!B12</f>
        <v/>
      </c>
      <c r="F11" s="34">
        <f>F10*(1+E11*D11/365)</f>
        <v/>
      </c>
      <c r="G11" s="34">
        <f>1/F11</f>
        <v/>
      </c>
      <c r="H11" s="33">
        <f>(F11-1)*365/C11</f>
        <v/>
      </c>
    </row>
    <row r="12">
      <c r="A12" s="19" t="inlineStr">
        <is>
          <t>M5</t>
        </is>
      </c>
      <c r="B12" s="32">
        <f>data!C13</f>
        <v/>
      </c>
      <c r="C12" s="10">
        <f>data!D13</f>
        <v/>
      </c>
      <c r="D12" s="10">
        <f>C12-C11</f>
        <v/>
      </c>
      <c r="E12" s="33">
        <f>data!B13</f>
        <v/>
      </c>
      <c r="F12" s="34">
        <f>F11*(1+E12*D12/365)</f>
        <v/>
      </c>
      <c r="G12" s="34">
        <f>1/F12</f>
        <v/>
      </c>
      <c r="H12" s="33">
        <f>(F12-1)*365/C12</f>
        <v/>
      </c>
    </row>
    <row r="13">
      <c r="A13" s="19" t="inlineStr">
        <is>
          <t>M6</t>
        </is>
      </c>
      <c r="B13" s="32">
        <f>data!C14</f>
        <v/>
      </c>
      <c r="C13" s="10">
        <f>data!D14</f>
        <v/>
      </c>
      <c r="D13" s="10">
        <f>C13-C12</f>
        <v/>
      </c>
      <c r="E13" s="33">
        <f>data!B14</f>
        <v/>
      </c>
      <c r="F13" s="34">
        <f>F12*(1+E13*D13/365)</f>
        <v/>
      </c>
      <c r="G13" s="34">
        <f>1/F13</f>
        <v/>
      </c>
      <c r="H13" s="33">
        <f>(F13-1)*365/C13</f>
        <v/>
      </c>
    </row>
    <row r="14">
      <c r="A14" s="19" t="inlineStr">
        <is>
          <t>M7</t>
        </is>
      </c>
      <c r="B14" s="32">
        <f>data!C15</f>
        <v/>
      </c>
      <c r="C14" s="10">
        <f>data!D15</f>
        <v/>
      </c>
      <c r="D14" s="10">
        <f>C14-C13</f>
        <v/>
      </c>
      <c r="E14" s="33">
        <f>data!B15</f>
        <v/>
      </c>
      <c r="F14" s="34">
        <f>F13*(1+E14*D14/365)</f>
        <v/>
      </c>
      <c r="G14" s="34">
        <f>1/F14</f>
        <v/>
      </c>
      <c r="H14" s="33">
        <f>(F14-1)*365/C14</f>
        <v/>
      </c>
    </row>
    <row r="15">
      <c r="A15" s="19" t="inlineStr">
        <is>
          <t>M8</t>
        </is>
      </c>
      <c r="B15" s="32">
        <f>data!C16</f>
        <v/>
      </c>
      <c r="C15" s="10">
        <f>data!D16</f>
        <v/>
      </c>
      <c r="D15" s="10">
        <f>C15-C14</f>
        <v/>
      </c>
      <c r="E15" s="33">
        <f>data!B16</f>
        <v/>
      </c>
      <c r="F15" s="34">
        <f>F14*(1+E15*D15/365)</f>
        <v/>
      </c>
      <c r="G15" s="34">
        <f>1/F15</f>
        <v/>
      </c>
      <c r="H15" s="33">
        <f>(F15-1)*365/C15</f>
        <v/>
      </c>
    </row>
    <row r="17">
      <c r="A17" s="18" t="inlineStr">
        <is>
          <t>【Step 2】 インプライドスポット金利の逆算 &amp; 歪み計算</t>
        </is>
      </c>
    </row>
    <row r="18" ht="32" customHeight="1">
      <c r="A18" s="6" t="inlineStr">
        <is>
          <t>テナー</t>
        </is>
      </c>
      <c r="B18" s="6" t="inlineStr">
        <is>
          <t>実日数
D_T</t>
        </is>
      </c>
      <c r="C18" s="6" t="inlineStr">
        <is>
          <t>実スポット
金利</t>
        </is>
      </c>
      <c r="D18" s="6" t="inlineStr">
        <is>
          <t>FV(D_T)
逆算値</t>
        </is>
      </c>
      <c r="E18" s="6" t="inlineStr">
        <is>
          <t>インプライド
スポット金利</t>
        </is>
      </c>
      <c r="F18" s="6" t="inlineStr">
        <is>
          <t>歪み
実際－インプライド</t>
        </is>
      </c>
      <c r="G18" s="6" t="inlineStr">
        <is>
          <t>歪み
(bps)</t>
        </is>
      </c>
      <c r="H18" s="6" t="inlineStr">
        <is>
          <t>備考</t>
        </is>
      </c>
      <c r="J18" t="inlineStr">
        <is>
          <t>テナー</t>
        </is>
      </c>
      <c r="K18" t="inlineStr">
        <is>
          <t>インプライドスポット(%)</t>
        </is>
      </c>
      <c r="L18" t="inlineStr">
        <is>
          <t>実スポット(%)</t>
        </is>
      </c>
      <c r="M18" t="inlineStr">
        <is>
          <t>歪み(bps)</t>
        </is>
      </c>
    </row>
    <row r="19">
      <c r="A19" s="19" t="inlineStr">
        <is>
          <t>1M</t>
        </is>
      </c>
      <c r="B19" s="10">
        <f>data!C20</f>
        <v/>
      </c>
      <c r="C19" s="35">
        <f>data!B20</f>
        <v/>
      </c>
      <c r="D19" s="34">
        <f>IF(B19&lt;=$C$8,(1+$E$8*B19/365),IF(B19&lt;=$C$9,$F$8*(1+$E$9*(B19-$C$8)/365),IF(B19&lt;=$C$10,$F$9*(1+$E$10*(B19-$C$9)/365),IF(B19&lt;=$C$11,$F$10*(1+$E$11*(B19-$C$10)/365),IF(B19&lt;=$C$12,$F$11*(1+$E$12*(B19-$C$11)/365),IF(B19&lt;=$C$13,$F$12*(1+$E$13*(B19-$C$12)/365),IF(B19&lt;=$C$14,$F$13*(1+$E$14*(B19-$C$13)/365),IF(B19&lt;=$C$15,$F$14*(1+$E$15*(B19-$C$14)/365),$F$15*(1+$E$15*(B19-$C$15)/365)))))))))</f>
        <v/>
      </c>
      <c r="E19" s="33">
        <f>(D19-1)*365/B19</f>
        <v/>
      </c>
      <c r="F19" s="36">
        <f>C19-E19</f>
        <v/>
      </c>
      <c r="G19" s="37">
        <f>(C19-E19)*10000</f>
        <v/>
      </c>
      <c r="H19" s="15" t="inlineStr"/>
      <c r="J19" t="inlineStr">
        <is>
          <t>1M</t>
        </is>
      </c>
      <c r="K19">
        <f>E19</f>
        <v/>
      </c>
      <c r="L19">
        <f>C19</f>
        <v/>
      </c>
      <c r="M19">
        <f>G19</f>
        <v/>
      </c>
    </row>
    <row r="20">
      <c r="A20" s="19" t="inlineStr">
        <is>
          <t>2M</t>
        </is>
      </c>
      <c r="B20" s="10">
        <f>data!C21</f>
        <v/>
      </c>
      <c r="C20" s="35">
        <f>data!B21</f>
        <v/>
      </c>
      <c r="D20" s="34">
        <f>IF(B20&lt;=$C$8,(1+$E$8*B20/365),IF(B20&lt;=$C$9,$F$8*(1+$E$9*(B20-$C$8)/365),IF(B20&lt;=$C$10,$F$9*(1+$E$10*(B20-$C$9)/365),IF(B20&lt;=$C$11,$F$10*(1+$E$11*(B20-$C$10)/365),IF(B20&lt;=$C$12,$F$11*(1+$E$12*(B20-$C$11)/365),IF(B20&lt;=$C$13,$F$12*(1+$E$13*(B20-$C$12)/365),IF(B20&lt;=$C$14,$F$13*(1+$E$14*(B20-$C$13)/365),IF(B20&lt;=$C$15,$F$14*(1+$E$15*(B20-$C$14)/365),$F$15*(1+$E$15*(B20-$C$15)/365)))))))))</f>
        <v/>
      </c>
      <c r="E20" s="33">
        <f>(D20-1)*365/B20</f>
        <v/>
      </c>
      <c r="F20" s="36">
        <f>C20-E20</f>
        <v/>
      </c>
      <c r="G20" s="37">
        <f>(C20-E20)*10000</f>
        <v/>
      </c>
      <c r="H20" s="15" t="inlineStr"/>
      <c r="J20" t="inlineStr">
        <is>
          <t>2M</t>
        </is>
      </c>
      <c r="K20">
        <f>E20</f>
        <v/>
      </c>
      <c r="L20">
        <f>C20</f>
        <v/>
      </c>
      <c r="M20">
        <f>G20</f>
        <v/>
      </c>
    </row>
    <row r="21">
      <c r="A21" s="19" t="inlineStr">
        <is>
          <t>3M</t>
        </is>
      </c>
      <c r="B21" s="10">
        <f>data!C22</f>
        <v/>
      </c>
      <c r="C21" s="35">
        <f>data!B22</f>
        <v/>
      </c>
      <c r="D21" s="34">
        <f>IF(B21&lt;=$C$8,(1+$E$8*B21/365),IF(B21&lt;=$C$9,$F$8*(1+$E$9*(B21-$C$8)/365),IF(B21&lt;=$C$10,$F$9*(1+$E$10*(B21-$C$9)/365),IF(B21&lt;=$C$11,$F$10*(1+$E$11*(B21-$C$10)/365),IF(B21&lt;=$C$12,$F$11*(1+$E$12*(B21-$C$11)/365),IF(B21&lt;=$C$13,$F$12*(1+$E$13*(B21-$C$12)/365),IF(B21&lt;=$C$14,$F$13*(1+$E$14*(B21-$C$13)/365),IF(B21&lt;=$C$15,$F$14*(1+$E$15*(B21-$C$14)/365),$F$15*(1+$E$15*(B21-$C$15)/365)))))))))</f>
        <v/>
      </c>
      <c r="E21" s="33">
        <f>(D21-1)*365/B21</f>
        <v/>
      </c>
      <c r="F21" s="36">
        <f>C21-E21</f>
        <v/>
      </c>
      <c r="G21" s="37">
        <f>(C21-E21)*10000</f>
        <v/>
      </c>
      <c r="H21" s="15" t="inlineStr"/>
      <c r="J21" t="inlineStr">
        <is>
          <t>3M</t>
        </is>
      </c>
      <c r="K21">
        <f>E21</f>
        <v/>
      </c>
      <c r="L21">
        <f>C21</f>
        <v/>
      </c>
      <c r="M21">
        <f>G21</f>
        <v/>
      </c>
    </row>
    <row r="22">
      <c r="A22" s="19" t="inlineStr">
        <is>
          <t>4M</t>
        </is>
      </c>
      <c r="B22" s="10">
        <f>data!C23</f>
        <v/>
      </c>
      <c r="C22" s="35">
        <f>data!B23</f>
        <v/>
      </c>
      <c r="D22" s="34">
        <f>IF(B22&lt;=$C$8,(1+$E$8*B22/365),IF(B22&lt;=$C$9,$F$8*(1+$E$9*(B22-$C$8)/365),IF(B22&lt;=$C$10,$F$9*(1+$E$10*(B22-$C$9)/365),IF(B22&lt;=$C$11,$F$10*(1+$E$11*(B22-$C$10)/365),IF(B22&lt;=$C$12,$F$11*(1+$E$12*(B22-$C$11)/365),IF(B22&lt;=$C$13,$F$12*(1+$E$13*(B22-$C$12)/365),IF(B22&lt;=$C$14,$F$13*(1+$E$14*(B22-$C$13)/365),IF(B22&lt;=$C$15,$F$14*(1+$E$15*(B22-$C$14)/365),$F$15*(1+$E$15*(B22-$C$15)/365)))))))))</f>
        <v/>
      </c>
      <c r="E22" s="33">
        <f>(D22-1)*365/B22</f>
        <v/>
      </c>
      <c r="F22" s="36">
        <f>C22-E22</f>
        <v/>
      </c>
      <c r="G22" s="37">
        <f>(C22-E22)*10000</f>
        <v/>
      </c>
      <c r="H22" s="15" t="inlineStr"/>
      <c r="J22" t="inlineStr">
        <is>
          <t>4M</t>
        </is>
      </c>
      <c r="K22">
        <f>E22</f>
        <v/>
      </c>
      <c r="L22">
        <f>C22</f>
        <v/>
      </c>
      <c r="M22">
        <f>G22</f>
        <v/>
      </c>
    </row>
    <row r="23">
      <c r="A23" s="19" t="inlineStr">
        <is>
          <t>5M</t>
        </is>
      </c>
      <c r="B23" s="10">
        <f>data!C24</f>
        <v/>
      </c>
      <c r="C23" s="35">
        <f>data!B24</f>
        <v/>
      </c>
      <c r="D23" s="34">
        <f>IF(B23&lt;=$C$8,(1+$E$8*B23/365),IF(B23&lt;=$C$9,$F$8*(1+$E$9*(B23-$C$8)/365),IF(B23&lt;=$C$10,$F$9*(1+$E$10*(B23-$C$9)/365),IF(B23&lt;=$C$11,$F$10*(1+$E$11*(B23-$C$10)/365),IF(B23&lt;=$C$12,$F$11*(1+$E$12*(B23-$C$11)/365),IF(B23&lt;=$C$13,$F$12*(1+$E$13*(B23-$C$12)/365),IF(B23&lt;=$C$14,$F$13*(1+$E$14*(B23-$C$13)/365),IF(B23&lt;=$C$15,$F$14*(1+$E$15*(B23-$C$14)/365),$F$15*(1+$E$15*(B23-$C$15)/365)))))))))</f>
        <v/>
      </c>
      <c r="E23" s="33">
        <f>(D23-1)*365/B23</f>
        <v/>
      </c>
      <c r="F23" s="36">
        <f>C23-E23</f>
        <v/>
      </c>
      <c r="G23" s="37">
        <f>(C23-E23)*10000</f>
        <v/>
      </c>
      <c r="H23" s="15" t="inlineStr"/>
      <c r="J23" t="inlineStr">
        <is>
          <t>5M</t>
        </is>
      </c>
      <c r="K23">
        <f>E23</f>
        <v/>
      </c>
      <c r="L23">
        <f>C23</f>
        <v/>
      </c>
      <c r="M23">
        <f>G23</f>
        <v/>
      </c>
    </row>
    <row r="24">
      <c r="A24" s="19" t="inlineStr">
        <is>
          <t>6M</t>
        </is>
      </c>
      <c r="B24" s="10">
        <f>data!C25</f>
        <v/>
      </c>
      <c r="C24" s="35">
        <f>data!B25</f>
        <v/>
      </c>
      <c r="D24" s="34">
        <f>IF(B24&lt;=$C$8,(1+$E$8*B24/365),IF(B24&lt;=$C$9,$F$8*(1+$E$9*(B24-$C$8)/365),IF(B24&lt;=$C$10,$F$9*(1+$E$10*(B24-$C$9)/365),IF(B24&lt;=$C$11,$F$10*(1+$E$11*(B24-$C$10)/365),IF(B24&lt;=$C$12,$F$11*(1+$E$12*(B24-$C$11)/365),IF(B24&lt;=$C$13,$F$12*(1+$E$13*(B24-$C$12)/365),IF(B24&lt;=$C$14,$F$13*(1+$E$14*(B24-$C$13)/365),IF(B24&lt;=$C$15,$F$14*(1+$E$15*(B24-$C$14)/365),$F$15*(1+$E$15*(B24-$C$15)/365)))))))))</f>
        <v/>
      </c>
      <c r="E24" s="33">
        <f>(D24-1)*365/B24</f>
        <v/>
      </c>
      <c r="F24" s="36">
        <f>C24-E24</f>
        <v/>
      </c>
      <c r="G24" s="37">
        <f>(C24-E24)*10000</f>
        <v/>
      </c>
      <c r="H24" s="15" t="inlineStr"/>
      <c r="J24" t="inlineStr">
        <is>
          <t>6M</t>
        </is>
      </c>
      <c r="K24">
        <f>E24</f>
        <v/>
      </c>
      <c r="L24">
        <f>C24</f>
        <v/>
      </c>
      <c r="M24">
        <f>G24</f>
        <v/>
      </c>
    </row>
    <row r="25">
      <c r="A25" s="19" t="inlineStr">
        <is>
          <t>7M</t>
        </is>
      </c>
      <c r="B25" s="10">
        <f>data!C26</f>
        <v/>
      </c>
      <c r="C25" s="35">
        <f>data!B26</f>
        <v/>
      </c>
      <c r="D25" s="34">
        <f>IF(B25&lt;=$C$8,(1+$E$8*B25/365),IF(B25&lt;=$C$9,$F$8*(1+$E$9*(B25-$C$8)/365),IF(B25&lt;=$C$10,$F$9*(1+$E$10*(B25-$C$9)/365),IF(B25&lt;=$C$11,$F$10*(1+$E$11*(B25-$C$10)/365),IF(B25&lt;=$C$12,$F$11*(1+$E$12*(B25-$C$11)/365),IF(B25&lt;=$C$13,$F$12*(1+$E$13*(B25-$C$12)/365),IF(B25&lt;=$C$14,$F$13*(1+$E$14*(B25-$C$13)/365),IF(B25&lt;=$C$15,$F$14*(1+$E$15*(B25-$C$14)/365),$F$15*(1+$E$15*(B25-$C$15)/365)))))))))</f>
        <v/>
      </c>
      <c r="E25" s="33">
        <f>(D25-1)*365/B25</f>
        <v/>
      </c>
      <c r="F25" s="36">
        <f>C25-E25</f>
        <v/>
      </c>
      <c r="G25" s="37">
        <f>(C25-E25)*10000</f>
        <v/>
      </c>
      <c r="H25" s="15" t="inlineStr"/>
      <c r="J25" t="inlineStr">
        <is>
          <t>7M</t>
        </is>
      </c>
      <c r="K25">
        <f>E25</f>
        <v/>
      </c>
      <c r="L25">
        <f>C25</f>
        <v/>
      </c>
      <c r="M25">
        <f>G25</f>
        <v/>
      </c>
    </row>
    <row r="26">
      <c r="A26" s="19" t="inlineStr">
        <is>
          <t>8M</t>
        </is>
      </c>
      <c r="B26" s="10">
        <f>data!C27</f>
        <v/>
      </c>
      <c r="C26" s="35">
        <f>data!B27</f>
        <v/>
      </c>
      <c r="D26" s="34">
        <f>IF(B26&lt;=$C$8,(1+$E$8*B26/365),IF(B26&lt;=$C$9,$F$8*(1+$E$9*(B26-$C$8)/365),IF(B26&lt;=$C$10,$F$9*(1+$E$10*(B26-$C$9)/365),IF(B26&lt;=$C$11,$F$10*(1+$E$11*(B26-$C$10)/365),IF(B26&lt;=$C$12,$F$11*(1+$E$12*(B26-$C$11)/365),IF(B26&lt;=$C$13,$F$12*(1+$E$13*(B26-$C$12)/365),IF(B26&lt;=$C$14,$F$13*(1+$E$14*(B26-$C$13)/365),IF(B26&lt;=$C$15,$F$14*(1+$E$15*(B26-$C$14)/365),$F$15*(1+$E$15*(B26-$C$15)/365)))))))))</f>
        <v/>
      </c>
      <c r="E26" s="33">
        <f>(D26-1)*365/B26</f>
        <v/>
      </c>
      <c r="F26" s="36">
        <f>C26-E26</f>
        <v/>
      </c>
      <c r="G26" s="37">
        <f>(C26-E26)*10000</f>
        <v/>
      </c>
      <c r="H26" s="15" t="inlineStr"/>
      <c r="J26" t="inlineStr">
        <is>
          <t>8M</t>
        </is>
      </c>
      <c r="K26">
        <f>E26</f>
        <v/>
      </c>
      <c r="L26">
        <f>C26</f>
        <v/>
      </c>
      <c r="M26">
        <f>G26</f>
        <v/>
      </c>
    </row>
    <row r="27">
      <c r="A27" s="19" t="inlineStr">
        <is>
          <t>9M</t>
        </is>
      </c>
      <c r="B27" s="10">
        <f>data!C28</f>
        <v/>
      </c>
      <c r="C27" s="35">
        <f>data!B28</f>
        <v/>
      </c>
      <c r="D27" s="34">
        <f>IF(B27&lt;=$C$8,(1+$E$8*B27/365),IF(B27&lt;=$C$9,$F$8*(1+$E$9*(B27-$C$8)/365),IF(B27&lt;=$C$10,$F$9*(1+$E$10*(B27-$C$9)/365),IF(B27&lt;=$C$11,$F$10*(1+$E$11*(B27-$C$10)/365),IF(B27&lt;=$C$12,$F$11*(1+$E$12*(B27-$C$11)/365),IF(B27&lt;=$C$13,$F$12*(1+$E$13*(B27-$C$12)/365),IF(B27&lt;=$C$14,$F$13*(1+$E$14*(B27-$C$13)/365),IF(B27&lt;=$C$15,$F$14*(1+$E$15*(B27-$C$14)/365),$F$15*(1+$E$15*(B27-$C$15)/365)))))))))</f>
        <v/>
      </c>
      <c r="E27" s="33">
        <f>(D27-1)*365/B27</f>
        <v/>
      </c>
      <c r="F27" s="36">
        <f>C27-E27</f>
        <v/>
      </c>
      <c r="G27" s="37">
        <f>(C27-E27)*10000</f>
        <v/>
      </c>
      <c r="H27" s="15" t="inlineStr"/>
      <c r="J27" t="inlineStr">
        <is>
          <t>9M</t>
        </is>
      </c>
      <c r="K27">
        <f>E27</f>
        <v/>
      </c>
      <c r="L27">
        <f>C27</f>
        <v/>
      </c>
      <c r="M27">
        <f>G27</f>
        <v/>
      </c>
    </row>
    <row r="28">
      <c r="A28" s="19" t="inlineStr">
        <is>
          <t>10M</t>
        </is>
      </c>
      <c r="B28" s="10">
        <f>data!C29</f>
        <v/>
      </c>
      <c r="C28" s="35">
        <f>data!B29</f>
        <v/>
      </c>
      <c r="D28" s="34">
        <f>IF(B28&lt;=$C$8,(1+$E$8*B28/365),IF(B28&lt;=$C$9,$F$8*(1+$E$9*(B28-$C$8)/365),IF(B28&lt;=$C$10,$F$9*(1+$E$10*(B28-$C$9)/365),IF(B28&lt;=$C$11,$F$10*(1+$E$11*(B28-$C$10)/365),IF(B28&lt;=$C$12,$F$11*(1+$E$12*(B28-$C$11)/365),IF(B28&lt;=$C$13,$F$12*(1+$E$13*(B28-$C$12)/365),IF(B28&lt;=$C$14,$F$13*(1+$E$14*(B28-$C$13)/365),IF(B28&lt;=$C$15,$F$14*(1+$E$15*(B28-$C$14)/365),$F$15*(1+$E$15*(B28-$C$15)/365)))))))))</f>
        <v/>
      </c>
      <c r="E28" s="33">
        <f>(D28-1)*365/B28</f>
        <v/>
      </c>
      <c r="F28" s="36">
        <f>C28-E28</f>
        <v/>
      </c>
      <c r="G28" s="37">
        <f>(C28-E28)*10000</f>
        <v/>
      </c>
      <c r="H28" s="15" t="inlineStr"/>
      <c r="J28" t="inlineStr">
        <is>
          <t>10M</t>
        </is>
      </c>
      <c r="K28">
        <f>E28</f>
        <v/>
      </c>
      <c r="L28">
        <f>C28</f>
        <v/>
      </c>
      <c r="M28">
        <f>G28</f>
        <v/>
      </c>
    </row>
    <row r="29">
      <c r="A29" s="19" t="inlineStr">
        <is>
          <t>11M</t>
        </is>
      </c>
      <c r="B29" s="10">
        <f>data!C30</f>
        <v/>
      </c>
      <c r="C29" s="35">
        <f>data!B30</f>
        <v/>
      </c>
      <c r="D29" s="34">
        <f>IF(B29&lt;=$C$8,(1+$E$8*B29/365),IF(B29&lt;=$C$9,$F$8*(1+$E$9*(B29-$C$8)/365),IF(B29&lt;=$C$10,$F$9*(1+$E$10*(B29-$C$9)/365),IF(B29&lt;=$C$11,$F$10*(1+$E$11*(B29-$C$10)/365),IF(B29&lt;=$C$12,$F$11*(1+$E$12*(B29-$C$11)/365),IF(B29&lt;=$C$13,$F$12*(1+$E$13*(B29-$C$12)/365),IF(B29&lt;=$C$14,$F$13*(1+$E$14*(B29-$C$13)/365),IF(B29&lt;=$C$15,$F$14*(1+$E$15*(B29-$C$14)/365),$F$15*(1+$E$15*(B29-$C$15)/365)))))))))</f>
        <v/>
      </c>
      <c r="E29" s="33">
        <f>(D29-1)*365/B29</f>
        <v/>
      </c>
      <c r="F29" s="36">
        <f>C29-E29</f>
        <v/>
      </c>
      <c r="G29" s="37">
        <f>(C29-E29)*10000</f>
        <v/>
      </c>
      <c r="H29" s="15" t="inlineStr"/>
      <c r="J29" t="inlineStr">
        <is>
          <t>11M</t>
        </is>
      </c>
      <c r="K29">
        <f>E29</f>
        <v/>
      </c>
      <c r="L29">
        <f>C29</f>
        <v/>
      </c>
      <c r="M29">
        <f>G29</f>
        <v/>
      </c>
    </row>
    <row r="30">
      <c r="A30" s="19" t="inlineStr">
        <is>
          <t>12M</t>
        </is>
      </c>
      <c r="B30" s="10">
        <f>data!C31</f>
        <v/>
      </c>
      <c r="C30" s="35">
        <f>data!B31</f>
        <v/>
      </c>
      <c r="D30" s="34">
        <f>IF(B30&lt;=$C$8,(1+$E$8*B30/365),IF(B30&lt;=$C$9,$F$8*(1+$E$9*(B30-$C$8)/365),IF(B30&lt;=$C$10,$F$9*(1+$E$10*(B30-$C$9)/365),IF(B30&lt;=$C$11,$F$10*(1+$E$11*(B30-$C$10)/365),IF(B30&lt;=$C$12,$F$11*(1+$E$12*(B30-$C$11)/365),IF(B30&lt;=$C$13,$F$12*(1+$E$13*(B30-$C$12)/365),IF(B30&lt;=$C$14,$F$13*(1+$E$14*(B30-$C$13)/365),IF(B30&lt;=$C$15,$F$14*(1+$E$15*(B30-$C$14)/365),$F$15*(1+$E$15*(B30-$C$15)/365)))))))))</f>
        <v/>
      </c>
      <c r="E30" s="33">
        <f>(D30-1)*365/B30</f>
        <v/>
      </c>
      <c r="F30" s="36">
        <f>C30-E30</f>
        <v/>
      </c>
      <c r="G30" s="37">
        <f>(C30-E30)*10000</f>
        <v/>
      </c>
      <c r="H30" s="15" t="inlineStr">
        <is>
          <t>※MPM8超→外挿</t>
        </is>
      </c>
      <c r="J30" t="inlineStr">
        <is>
          <t>12M</t>
        </is>
      </c>
      <c r="K30">
        <f>E30</f>
        <v/>
      </c>
      <c r="L30">
        <f>C30</f>
        <v/>
      </c>
      <c r="M30">
        <f>G30</f>
        <v/>
      </c>
    </row>
    <row r="31">
      <c r="A31" s="19" t="inlineStr">
        <is>
          <t>15M</t>
        </is>
      </c>
      <c r="B31" s="10">
        <f>data!C32</f>
        <v/>
      </c>
      <c r="C31" s="35">
        <f>data!B32</f>
        <v/>
      </c>
      <c r="D31" s="34">
        <f>IF(B31&lt;=$C$8,(1+$E$8*B31/365),IF(B31&lt;=$C$9,$F$8*(1+$E$9*(B31-$C$8)/365),IF(B31&lt;=$C$10,$F$9*(1+$E$10*(B31-$C$9)/365),IF(B31&lt;=$C$11,$F$10*(1+$E$11*(B31-$C$10)/365),IF(B31&lt;=$C$12,$F$11*(1+$E$12*(B31-$C$11)/365),IF(B31&lt;=$C$13,$F$12*(1+$E$13*(B31-$C$12)/365),IF(B31&lt;=$C$14,$F$13*(1+$E$14*(B31-$C$13)/365),IF(B31&lt;=$C$15,$F$14*(1+$E$15*(B31-$C$14)/365),$F$15*(1+$E$15*(B31-$C$15)/365)))))))))</f>
        <v/>
      </c>
      <c r="E31" s="33">
        <f>(D31-1)*365/B31</f>
        <v/>
      </c>
      <c r="F31" s="36">
        <f>C31-E31</f>
        <v/>
      </c>
      <c r="G31" s="37">
        <f>(C31-E31)*10000</f>
        <v/>
      </c>
      <c r="H31" s="15" t="inlineStr">
        <is>
          <t>※MPM8超→外挿</t>
        </is>
      </c>
      <c r="J31" t="inlineStr">
        <is>
          <t>15M</t>
        </is>
      </c>
      <c r="K31">
        <f>E31</f>
        <v/>
      </c>
      <c r="L31">
        <f>C31</f>
        <v/>
      </c>
      <c r="M31">
        <f>G31</f>
        <v/>
      </c>
    </row>
    <row r="34">
      <c r="A34" s="18" t="inlineStr">
        <is>
          <t>【計算定義】 Act/365 Fixed, 単利建て（日本円OIS市場標準）</t>
        </is>
      </c>
    </row>
    <row r="35">
      <c r="A35" s="26" t="inlineStr">
        <is>
          <t>① デイカウント: ACT/365 Fixed（全期間共通）</t>
        </is>
      </c>
    </row>
    <row r="36">
      <c r="A36" s="26" t="inlineStr">
        <is>
          <t>② BOJスワップ M_i (JPBOJ1-8ONI): フォワード期間OIS金利（単利建て）</t>
        </is>
      </c>
    </row>
    <row r="37">
      <c r="A37" s="27" t="inlineStr">
        <is>
          <t xml:space="preserve">   JPBOJ1ONI: スポット日 → MPM1実効日  の期間フォワード金利</t>
        </is>
      </c>
    </row>
    <row r="38">
      <c r="A38" s="27" t="inlineStr">
        <is>
          <t xml:space="preserve">   JPBOJ2ONI: MPM1実効日 → MPM2実効日 の期間フォワード金利（以降同様）</t>
        </is>
      </c>
    </row>
    <row r="39">
      <c r="A39" s="26" t="inlineStr">
        <is>
          <t>③ 累積FV: FV_0=1,  FV_i = FV_{i-1} × (1 + M_i × ΔD_i/365)</t>
        </is>
      </c>
    </row>
    <row r="40">
      <c r="A40" s="27" t="inlineStr">
        <is>
          <t xml:space="preserve">   ΔD_i = D(MPM_i実効日) - D(MPM_{i-1}実効日)  [i=1のみ D(MPM1) - D(Spot)]</t>
        </is>
      </c>
    </row>
    <row r="41">
      <c r="A41" s="26" t="inlineStr">
        <is>
          <t>④ テナーT(実日数D_T)のFV逆算: D_{k-1} &lt; D_T ≤ D_k の場合</t>
        </is>
      </c>
    </row>
    <row r="42">
      <c r="A42" s="27" t="inlineStr">
        <is>
          <t xml:space="preserve">   FV_T = FV_{k-1} × (1 + M_k × (D_T - D_{k-1})/365)  ← 期間内一定ON金利を仮定</t>
        </is>
      </c>
    </row>
    <row r="43">
      <c r="A43" s="26" t="inlineStr">
        <is>
          <t>⑤ インプライドスポット金利: r_implied = (FV_T - 1) × 365/D_T  [単利, ACT/365]</t>
        </is>
      </c>
    </row>
    <row r="44">
      <c r="A44" s="26" t="inlineStr">
        <is>
          <t>⑥ 歪み = 実スポット金利 − インプライドスポット金利  [bps換算: ×10000]</t>
        </is>
      </c>
    </row>
    <row r="45">
      <c r="A45" s="26" t="inlineStr">
        <is>
          <t>⑦ MPM8超テナー(15M等): M8フォワード金利で外挿（ON金利一定継続の仮定）</t>
        </is>
      </c>
    </row>
    <row r="46">
      <c r="A46" s="27" t="inlineStr">
        <is>
          <t>※ スポット金利: JPYOIS1-12M=ICAP, 15M=ICAP（TONA OIS直接クォート）</t>
        </is>
      </c>
    </row>
  </sheetData>
  <mergeCells count="4">
    <mergeCell ref="A34:H34"/>
    <mergeCell ref="A6:H6"/>
    <mergeCell ref="A17:H17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9" customWidth="1" min="3" max="3"/>
    <col width="14" customWidth="1" min="4" max="4"/>
    <col width="12" customWidth="1" min="5" max="5"/>
    <col width="12" customWidth="1" min="6" max="6"/>
    <col width="14" customWidth="1" min="7" max="7"/>
    <col width="11" customWidth="1" min="8" max="8"/>
    <col width="10" customWidth="1" min="9" max="9"/>
    <col width="26" customWidth="1" min="10" max="10"/>
  </cols>
  <sheetData>
    <row r="1" ht="30" customHeight="1">
      <c r="A1" s="38" t="inlineStr">
        <is>
          <t>スポット OIS  →  BOJ グリッドレート 逆算（ブートストラップ）</t>
        </is>
      </c>
    </row>
    <row r="2">
      <c r="A2" s="59" t="inlineStr">
        <is>
          <t>【手法】市場スポット OIS（1M〜15M）を MPM 発効日で区分線形補間 → 8 点でブートストラップ → グリッドレート Mn 逆算。STEP 3 の残差で補間精度を確認。</t>
        </is>
      </c>
    </row>
    <row r="4">
      <c r="A4" s="60" t="inlineStr">
        <is>
          <t>STEP 1/2: MPM発効日でのスポット補間 → グリッドレート逆算（ACT/365 Fixed）</t>
        </is>
      </c>
      <c r="B4" s="41" t="n"/>
      <c r="C4" s="41" t="n"/>
      <c r="D4" s="41" t="n"/>
      <c r="E4" s="41" t="n"/>
      <c r="F4" s="41" t="n"/>
      <c r="G4" s="41" t="n"/>
      <c r="H4" s="41" t="n"/>
      <c r="I4" s="41" t="n"/>
      <c r="J4" s="42" t="n"/>
    </row>
    <row r="5" ht="30" customHeight="1">
      <c r="A5" s="43" t="inlineStr">
        <is>
          <t>会合</t>
        </is>
      </c>
      <c r="B5" s="43" t="inlineStr">
        <is>
          <t>MPM発効日</t>
        </is>
      </c>
      <c r="C5" s="43" t="inlineStr">
        <is>
          <t>実日数
(Dk)</t>
        </is>
      </c>
      <c r="D5" s="43" t="inlineStr">
        <is>
          <t>補間スポットOIS
(Step1)</t>
        </is>
      </c>
      <c r="E5" s="43" t="inlineStr">
        <is>
          <t>累積複利係数
(Step2)</t>
        </is>
      </c>
      <c r="F5" s="43" t="inlineStr">
        <is>
          <t>期間複利係数
(Step2)</t>
        </is>
      </c>
      <c r="G5" s="43" t="inlineStr">
        <is>
          <t>逆算Mn
(Step2)</t>
        </is>
      </c>
      <c r="H5" s="43" t="inlineStr">
        <is>
          <t>開始日数
(H:helper)</t>
        </is>
      </c>
      <c r="I5" s="43" t="inlineStr">
        <is>
          <t>期間日数
(I:helper)</t>
        </is>
      </c>
      <c r="J5" s="43" t="inlineStr">
        <is>
          <t>補間区間 (参考)</t>
        </is>
      </c>
    </row>
    <row r="6">
      <c r="A6" s="44" t="inlineStr">
        <is>
          <t>M1</t>
        </is>
      </c>
      <c r="B6" s="45">
        <f>data!$C$9</f>
        <v/>
      </c>
      <c r="C6" s="46">
        <f>data!$D$9</f>
        <v/>
      </c>
      <c r="D6" s="47">
        <f>LET(xs,data!$C$20:$C$32,ys,data!$B$20:$B$32,n,13,Dk,C6,idx,MAX(1,MIN(n-1,IF(Dk&gt;=INDEX(xs,n),n-1,MATCH(Dk,xs,1)))),ylo,INDEX(ys,idx),yhi,INDEX(ys,idx+1),xlo,INDEX(xs,idx),xhi,INDEX(xs,idx+1),IF(xhi=xlo,ylo,ylo+(yhi-ylo)*(Dk-xlo)/(xhi-xlo)))</f>
        <v/>
      </c>
      <c r="E6" s="48">
        <f>1+D6*C6/365</f>
        <v/>
      </c>
      <c r="F6" s="48">
        <f>E6</f>
        <v/>
      </c>
      <c r="G6" s="47">
        <f>(F6-1)/(C6/365)</f>
        <v/>
      </c>
      <c r="H6" s="46">
        <f>0</f>
        <v/>
      </c>
      <c r="I6" s="46">
        <f>C6-H6</f>
        <v/>
      </c>
      <c r="J6" s="61">
        <f>LET(xs,data!$C$20:$C$32,ys,data!$D$20:$D$32,n,13,Dk,C6,idx,MAX(1,MIN(n-1,IF(Dk&gt;=INDEX(xs,n),n-1,MATCH(Dk,xs,1)))),INDEX(ys,idx)&amp;"("&amp;INDEX(xs,idx)&amp;"d) ～ "&amp;INDEX(ys,idx+1)&amp;"("&amp;INDEX(xs,idx+1)&amp;"d)")</f>
        <v/>
      </c>
    </row>
    <row r="7">
      <c r="A7" s="44" t="inlineStr">
        <is>
          <t>M2</t>
        </is>
      </c>
      <c r="B7" s="45">
        <f>data!$C$10</f>
        <v/>
      </c>
      <c r="C7" s="46">
        <f>data!$D$10</f>
        <v/>
      </c>
      <c r="D7" s="47">
        <f>LET(xs,data!$C$20:$C$32,ys,data!$B$20:$B$32,n,13,Dk,C7,idx,MAX(1,MIN(n-1,IF(Dk&gt;=INDEX(xs,n),n-1,MATCH(Dk,xs,1)))),ylo,INDEX(ys,idx),yhi,INDEX(ys,idx+1),xlo,INDEX(xs,idx),xhi,INDEX(xs,idx+1),IF(xhi=xlo,ylo,ylo+(yhi-ylo)*(Dk-xlo)/(xhi-xlo)))</f>
        <v/>
      </c>
      <c r="E7" s="48">
        <f>1+D7*C7/365</f>
        <v/>
      </c>
      <c r="F7" s="48">
        <f>E7/E6</f>
        <v/>
      </c>
      <c r="G7" s="47">
        <f>(F7-1)/((C7-C6)/365)</f>
        <v/>
      </c>
      <c r="H7" s="46">
        <f>C6</f>
        <v/>
      </c>
      <c r="I7" s="46">
        <f>C7-H7</f>
        <v/>
      </c>
      <c r="J7" s="61">
        <f>LET(xs,data!$C$20:$C$32,ys,data!$D$20:$D$32,n,13,Dk,C7,idx,MAX(1,MIN(n-1,IF(Dk&gt;=INDEX(xs,n),n-1,MATCH(Dk,xs,1)))),INDEX(ys,idx)&amp;"("&amp;INDEX(xs,idx)&amp;"d) ～ "&amp;INDEX(ys,idx+1)&amp;"("&amp;INDEX(xs,idx+1)&amp;"d)")</f>
        <v/>
      </c>
    </row>
    <row r="8">
      <c r="A8" s="44" t="inlineStr">
        <is>
          <t>M3</t>
        </is>
      </c>
      <c r="B8" s="45">
        <f>data!$C$11</f>
        <v/>
      </c>
      <c r="C8" s="46">
        <f>data!$D$11</f>
        <v/>
      </c>
      <c r="D8" s="47">
        <f>LET(xs,data!$C$20:$C$32,ys,data!$B$20:$B$32,n,13,Dk,C8,idx,MAX(1,MIN(n-1,IF(Dk&gt;=INDEX(xs,n),n-1,MATCH(Dk,xs,1)))),ylo,INDEX(ys,idx),yhi,INDEX(ys,idx+1),xlo,INDEX(xs,idx),xhi,INDEX(xs,idx+1),IF(xhi=xlo,ylo,ylo+(yhi-ylo)*(Dk-xlo)/(xhi-xlo)))</f>
        <v/>
      </c>
      <c r="E8" s="48">
        <f>1+D8*C8/365</f>
        <v/>
      </c>
      <c r="F8" s="48">
        <f>E8/E7</f>
        <v/>
      </c>
      <c r="G8" s="47">
        <f>(F8-1)/((C8-C7)/365)</f>
        <v/>
      </c>
      <c r="H8" s="46">
        <f>C7</f>
        <v/>
      </c>
      <c r="I8" s="46">
        <f>C8-H8</f>
        <v/>
      </c>
      <c r="J8" s="61">
        <f>LET(xs,data!$C$20:$C$32,ys,data!$D$20:$D$32,n,13,Dk,C8,idx,MAX(1,MIN(n-1,IF(Dk&gt;=INDEX(xs,n),n-1,MATCH(Dk,xs,1)))),INDEX(ys,idx)&amp;"("&amp;INDEX(xs,idx)&amp;"d) ～ "&amp;INDEX(ys,idx+1)&amp;"("&amp;INDEX(xs,idx+1)&amp;"d)")</f>
        <v/>
      </c>
    </row>
    <row r="9">
      <c r="A9" s="44" t="inlineStr">
        <is>
          <t>M4</t>
        </is>
      </c>
      <c r="B9" s="45">
        <f>data!$C$12</f>
        <v/>
      </c>
      <c r="C9" s="46">
        <f>data!$D$12</f>
        <v/>
      </c>
      <c r="D9" s="47">
        <f>LET(xs,data!$C$20:$C$32,ys,data!$B$20:$B$32,n,13,Dk,C9,idx,MAX(1,MIN(n-1,IF(Dk&gt;=INDEX(xs,n),n-1,MATCH(Dk,xs,1)))),ylo,INDEX(ys,idx),yhi,INDEX(ys,idx+1),xlo,INDEX(xs,idx),xhi,INDEX(xs,idx+1),IF(xhi=xlo,ylo,ylo+(yhi-ylo)*(Dk-xlo)/(xhi-xlo)))</f>
        <v/>
      </c>
      <c r="E9" s="48">
        <f>1+D9*C9/365</f>
        <v/>
      </c>
      <c r="F9" s="48">
        <f>E9/E8</f>
        <v/>
      </c>
      <c r="G9" s="47">
        <f>(F9-1)/((C9-C8)/365)</f>
        <v/>
      </c>
      <c r="H9" s="46">
        <f>C8</f>
        <v/>
      </c>
      <c r="I9" s="46">
        <f>C9-H9</f>
        <v/>
      </c>
      <c r="J9" s="61">
        <f>LET(xs,data!$C$20:$C$32,ys,data!$D$20:$D$32,n,13,Dk,C9,idx,MAX(1,MIN(n-1,IF(Dk&gt;=INDEX(xs,n),n-1,MATCH(Dk,xs,1)))),INDEX(ys,idx)&amp;"("&amp;INDEX(xs,idx)&amp;"d) ～ "&amp;INDEX(ys,idx+1)&amp;"("&amp;INDEX(xs,idx+1)&amp;"d)")</f>
        <v/>
      </c>
    </row>
    <row r="10">
      <c r="A10" s="44" t="inlineStr">
        <is>
          <t>M5</t>
        </is>
      </c>
      <c r="B10" s="45">
        <f>data!$C$13</f>
        <v/>
      </c>
      <c r="C10" s="46">
        <f>data!$D$13</f>
        <v/>
      </c>
      <c r="D10" s="47">
        <f>LET(xs,data!$C$20:$C$32,ys,data!$B$20:$B$32,n,13,Dk,C10,idx,MAX(1,MIN(n-1,IF(Dk&gt;=INDEX(xs,n),n-1,MATCH(Dk,xs,1)))),ylo,INDEX(ys,idx),yhi,INDEX(ys,idx+1),xlo,INDEX(xs,idx),xhi,INDEX(xs,idx+1),IF(xhi=xlo,ylo,ylo+(yhi-ylo)*(Dk-xlo)/(xhi-xlo)))</f>
        <v/>
      </c>
      <c r="E10" s="48">
        <f>1+D10*C10/365</f>
        <v/>
      </c>
      <c r="F10" s="48">
        <f>E10/E9</f>
        <v/>
      </c>
      <c r="G10" s="47">
        <f>(F10-1)/((C10-C9)/365)</f>
        <v/>
      </c>
      <c r="H10" s="46">
        <f>C9</f>
        <v/>
      </c>
      <c r="I10" s="46">
        <f>C10-H10</f>
        <v/>
      </c>
      <c r="J10" s="61">
        <f>LET(xs,data!$C$20:$C$32,ys,data!$D$20:$D$32,n,13,Dk,C10,idx,MAX(1,MIN(n-1,IF(Dk&gt;=INDEX(xs,n),n-1,MATCH(Dk,xs,1)))),INDEX(ys,idx)&amp;"("&amp;INDEX(xs,idx)&amp;"d) ～ "&amp;INDEX(ys,idx+1)&amp;"("&amp;INDEX(xs,idx+1)&amp;"d)")</f>
        <v/>
      </c>
    </row>
    <row r="11">
      <c r="A11" s="44" t="inlineStr">
        <is>
          <t>M6</t>
        </is>
      </c>
      <c r="B11" s="45">
        <f>data!$C$14</f>
        <v/>
      </c>
      <c r="C11" s="46">
        <f>data!$D$14</f>
        <v/>
      </c>
      <c r="D11" s="47">
        <f>LET(xs,data!$C$20:$C$32,ys,data!$B$20:$B$32,n,13,Dk,C11,idx,MAX(1,MIN(n-1,IF(Dk&gt;=INDEX(xs,n),n-1,MATCH(Dk,xs,1)))),ylo,INDEX(ys,idx),yhi,INDEX(ys,idx+1),xlo,INDEX(xs,idx),xhi,INDEX(xs,idx+1),IF(xhi=xlo,ylo,ylo+(yhi-ylo)*(Dk-xlo)/(xhi-xlo)))</f>
        <v/>
      </c>
      <c r="E11" s="48">
        <f>1+D11*C11/365</f>
        <v/>
      </c>
      <c r="F11" s="48">
        <f>E11/E10</f>
        <v/>
      </c>
      <c r="G11" s="47">
        <f>(F11-1)/((C11-C10)/365)</f>
        <v/>
      </c>
      <c r="H11" s="46">
        <f>C10</f>
        <v/>
      </c>
      <c r="I11" s="46">
        <f>C11-H11</f>
        <v/>
      </c>
      <c r="J11" s="61">
        <f>LET(xs,data!$C$20:$C$32,ys,data!$D$20:$D$32,n,13,Dk,C11,idx,MAX(1,MIN(n-1,IF(Dk&gt;=INDEX(xs,n),n-1,MATCH(Dk,xs,1)))),INDEX(ys,idx)&amp;"("&amp;INDEX(xs,idx)&amp;"d) ～ "&amp;INDEX(ys,idx+1)&amp;"("&amp;INDEX(xs,idx+1)&amp;"d)")</f>
        <v/>
      </c>
    </row>
    <row r="12">
      <c r="A12" s="44" t="inlineStr">
        <is>
          <t>M7</t>
        </is>
      </c>
      <c r="B12" s="45">
        <f>data!$C$15</f>
        <v/>
      </c>
      <c r="C12" s="46">
        <f>data!$D$15</f>
        <v/>
      </c>
      <c r="D12" s="47">
        <f>LET(xs,data!$C$20:$C$32,ys,data!$B$20:$B$32,n,13,Dk,C12,idx,MAX(1,MIN(n-1,IF(Dk&gt;=INDEX(xs,n),n-1,MATCH(Dk,xs,1)))),ylo,INDEX(ys,idx),yhi,INDEX(ys,idx+1),xlo,INDEX(xs,idx),xhi,INDEX(xs,idx+1),IF(xhi=xlo,ylo,ylo+(yhi-ylo)*(Dk-xlo)/(xhi-xlo)))</f>
        <v/>
      </c>
      <c r="E12" s="48">
        <f>1+D12*C12/365</f>
        <v/>
      </c>
      <c r="F12" s="48">
        <f>E12/E11</f>
        <v/>
      </c>
      <c r="G12" s="47">
        <f>(F12-1)/((C12-C11)/365)</f>
        <v/>
      </c>
      <c r="H12" s="46">
        <f>C11</f>
        <v/>
      </c>
      <c r="I12" s="46">
        <f>C12-H12</f>
        <v/>
      </c>
      <c r="J12" s="61">
        <f>LET(xs,data!$C$20:$C$32,ys,data!$D$20:$D$32,n,13,Dk,C12,idx,MAX(1,MIN(n-1,IF(Dk&gt;=INDEX(xs,n),n-1,MATCH(Dk,xs,1)))),INDEX(ys,idx)&amp;"("&amp;INDEX(xs,idx)&amp;"d) ～ "&amp;INDEX(ys,idx+1)&amp;"("&amp;INDEX(xs,idx+1)&amp;"d)")</f>
        <v/>
      </c>
    </row>
    <row r="13">
      <c r="A13" s="44" t="inlineStr">
        <is>
          <t>M8</t>
        </is>
      </c>
      <c r="B13" s="45">
        <f>data!$C$16</f>
        <v/>
      </c>
      <c r="C13" s="46">
        <f>data!$D$16</f>
        <v/>
      </c>
      <c r="D13" s="47">
        <f>LET(xs,data!$C$20:$C$32,ys,data!$B$20:$B$32,n,13,Dk,C13,idx,MAX(1,MIN(n-1,IF(Dk&gt;=INDEX(xs,n),n-1,MATCH(Dk,xs,1)))),ylo,INDEX(ys,idx),yhi,INDEX(ys,idx+1),xlo,INDEX(xs,idx),xhi,INDEX(xs,idx+1),IF(xhi=xlo,ylo,ylo+(yhi-ylo)*(Dk-xlo)/(xhi-xlo)))</f>
        <v/>
      </c>
      <c r="E13" s="48">
        <f>1+D13*C13/365</f>
        <v/>
      </c>
      <c r="F13" s="48">
        <f>E13/E12</f>
        <v/>
      </c>
      <c r="G13" s="47">
        <f>(F13-1)/((C13-C12)/365)</f>
        <v/>
      </c>
      <c r="H13" s="46">
        <f>C12</f>
        <v/>
      </c>
      <c r="I13" s="46">
        <f>C13-H13</f>
        <v/>
      </c>
      <c r="J13" s="61">
        <f>LET(xs,data!$C$20:$C$32,ys,data!$D$20:$D$32,n,13,Dk,C13,idx,MAX(1,MIN(n-1,IF(Dk&gt;=INDEX(xs,n),n-1,MATCH(Dk,xs,1)))),INDEX(ys,idx)&amp;"("&amp;INDEX(xs,idx)&amp;"d) ～ "&amp;INDEX(ys,idx+1)&amp;"("&amp;INDEX(xs,idx+1)&amp;"d)")</f>
        <v/>
      </c>
    </row>
    <row r="14">
      <c r="A14" s="50" t="inlineStr">
        <is>
          <t>M8以降
(flat)</t>
        </is>
      </c>
      <c r="G14" s="47">
        <f>G13</f>
        <v/>
      </c>
      <c r="H14" s="46">
        <f>C13</f>
        <v/>
      </c>
      <c r="I14" s="46">
        <f>3650</f>
        <v/>
      </c>
      <c r="J14" s="59" t="inlineStr">
        <is>
          <t>← M8 グリッドレートを flat 延長（12M・15M 残差検証用）</t>
        </is>
      </c>
    </row>
    <row r="16">
      <c r="A16" s="60" t="inlineStr">
        <is>
          <t>STEP 3: 残差検証 ─ 逆算グリッド → 再現スポット vs 市場スポット（補間精度・歪み確認）</t>
        </is>
      </c>
      <c r="B16" s="41" t="n"/>
      <c r="C16" s="41" t="n"/>
      <c r="D16" s="41" t="n"/>
      <c r="E16" s="41" t="n"/>
      <c r="F16" s="41" t="n"/>
      <c r="G16" s="42" t="n"/>
    </row>
    <row r="17" ht="30" customHeight="1">
      <c r="A17" s="43" t="inlineStr">
        <is>
          <t>テナー</t>
        </is>
      </c>
      <c r="B17" s="43" t="inlineStr">
        <is>
          <t>実日数</t>
        </is>
      </c>
      <c r="C17" s="43" t="inlineStr">
        <is>
          <t>市場スポット</t>
        </is>
      </c>
      <c r="D17" s="43" t="inlineStr">
        <is>
          <t>再現スポット
(逆算グリッドから)</t>
        </is>
      </c>
      <c r="E17" s="43" t="inlineStr">
        <is>
          <t>残差
実際－再現 (bp)</t>
        </is>
      </c>
      <c r="F17" s="43" t="inlineStr">
        <is>
          <t>累積残差
(bp)</t>
        </is>
      </c>
      <c r="G17" s="43" t="inlineStr">
        <is>
          <t>備考</t>
        </is>
      </c>
    </row>
    <row r="18">
      <c r="A18" s="44" t="inlineStr">
        <is>
          <t>1M</t>
        </is>
      </c>
      <c r="B18" s="46">
        <f>data!$C$20</f>
        <v/>
      </c>
      <c r="C18" s="51">
        <f>data!$B$20</f>
        <v/>
      </c>
      <c r="D18" s="47">
        <f>(EXP(SUMPRODUCT(LN(1+$G$6:$G$14*MIN(MAX(B18-$H$6:$H$14,0),$I$6:$I$14)/365)))-1)/(B18/365)</f>
        <v/>
      </c>
      <c r="E18" s="52">
        <f>(C18-D18)*10000</f>
        <v/>
      </c>
      <c r="F18" s="52">
        <f>E18</f>
        <v/>
      </c>
      <c r="G18" s="61" t="inlineStr"/>
    </row>
    <row r="19">
      <c r="A19" s="44" t="inlineStr">
        <is>
          <t>2M</t>
        </is>
      </c>
      <c r="B19" s="46">
        <f>data!$C$21</f>
        <v/>
      </c>
      <c r="C19" s="51">
        <f>data!$B$21</f>
        <v/>
      </c>
      <c r="D19" s="47">
        <f>(EXP(SUMPRODUCT(LN(1+$G$6:$G$14*MIN(MAX(B19-$H$6:$H$14,0),$I$6:$I$14)/365)))-1)/(B19/365)</f>
        <v/>
      </c>
      <c r="E19" s="52">
        <f>(C19-D19)*10000</f>
        <v/>
      </c>
      <c r="F19" s="52">
        <f>F18+E19</f>
        <v/>
      </c>
      <c r="G19" s="61" t="inlineStr"/>
    </row>
    <row r="20">
      <c r="A20" s="44" t="inlineStr">
        <is>
          <t>3M</t>
        </is>
      </c>
      <c r="B20" s="46">
        <f>data!$C$22</f>
        <v/>
      </c>
      <c r="C20" s="51">
        <f>data!$B$22</f>
        <v/>
      </c>
      <c r="D20" s="47">
        <f>(EXP(SUMPRODUCT(LN(1+$G$6:$G$14*MIN(MAX(B20-$H$6:$H$14,0),$I$6:$I$14)/365)))-1)/(B20/365)</f>
        <v/>
      </c>
      <c r="E20" s="52">
        <f>(C20-D20)*10000</f>
        <v/>
      </c>
      <c r="F20" s="52">
        <f>F19+E20</f>
        <v/>
      </c>
      <c r="G20" s="61" t="inlineStr"/>
    </row>
    <row r="21">
      <c r="A21" s="44" t="inlineStr">
        <is>
          <t>4M</t>
        </is>
      </c>
      <c r="B21" s="46">
        <f>data!$C$23</f>
        <v/>
      </c>
      <c r="C21" s="51">
        <f>data!$B$23</f>
        <v/>
      </c>
      <c r="D21" s="47">
        <f>(EXP(SUMPRODUCT(LN(1+$G$6:$G$14*MIN(MAX(B21-$H$6:$H$14,0),$I$6:$I$14)/365)))-1)/(B21/365)</f>
        <v/>
      </c>
      <c r="E21" s="52">
        <f>(C21-D21)*10000</f>
        <v/>
      </c>
      <c r="F21" s="52">
        <f>F20+E21</f>
        <v/>
      </c>
      <c r="G21" s="61" t="inlineStr"/>
    </row>
    <row r="22">
      <c r="A22" s="44" t="inlineStr">
        <is>
          <t>5M</t>
        </is>
      </c>
      <c r="B22" s="46">
        <f>data!$C$24</f>
        <v/>
      </c>
      <c r="C22" s="51">
        <f>data!$B$24</f>
        <v/>
      </c>
      <c r="D22" s="47">
        <f>(EXP(SUMPRODUCT(LN(1+$G$6:$G$14*MIN(MAX(B22-$H$6:$H$14,0),$I$6:$I$14)/365)))-1)/(B22/365)</f>
        <v/>
      </c>
      <c r="E22" s="52">
        <f>(C22-D22)*10000</f>
        <v/>
      </c>
      <c r="F22" s="52">
        <f>F21+E22</f>
        <v/>
      </c>
      <c r="G22" s="61" t="inlineStr"/>
    </row>
    <row r="23">
      <c r="A23" s="44" t="inlineStr">
        <is>
          <t>6M</t>
        </is>
      </c>
      <c r="B23" s="46">
        <f>data!$C$25</f>
        <v/>
      </c>
      <c r="C23" s="51">
        <f>data!$B$25</f>
        <v/>
      </c>
      <c r="D23" s="47">
        <f>(EXP(SUMPRODUCT(LN(1+$G$6:$G$14*MIN(MAX(B23-$H$6:$H$14,0),$I$6:$I$14)/365)))-1)/(B23/365)</f>
        <v/>
      </c>
      <c r="E23" s="52">
        <f>(C23-D23)*10000</f>
        <v/>
      </c>
      <c r="F23" s="52">
        <f>F22+E23</f>
        <v/>
      </c>
      <c r="G23" s="61" t="inlineStr"/>
    </row>
    <row r="24">
      <c r="A24" s="44" t="inlineStr">
        <is>
          <t>7M</t>
        </is>
      </c>
      <c r="B24" s="46">
        <f>data!$C$26</f>
        <v/>
      </c>
      <c r="C24" s="51">
        <f>data!$B$26</f>
        <v/>
      </c>
      <c r="D24" s="47">
        <f>(EXP(SUMPRODUCT(LN(1+$G$6:$G$14*MIN(MAX(B24-$H$6:$H$14,0),$I$6:$I$14)/365)))-1)/(B24/365)</f>
        <v/>
      </c>
      <c r="E24" s="52">
        <f>(C24-D24)*10000</f>
        <v/>
      </c>
      <c r="F24" s="52">
        <f>F23+E24</f>
        <v/>
      </c>
      <c r="G24" s="61" t="inlineStr"/>
    </row>
    <row r="25">
      <c r="A25" s="44" t="inlineStr">
        <is>
          <t>8M</t>
        </is>
      </c>
      <c r="B25" s="46">
        <f>data!$C$27</f>
        <v/>
      </c>
      <c r="C25" s="51">
        <f>data!$B$27</f>
        <v/>
      </c>
      <c r="D25" s="47">
        <f>(EXP(SUMPRODUCT(LN(1+$G$6:$G$14*MIN(MAX(B25-$H$6:$H$14,0),$I$6:$I$14)/365)))-1)/(B25/365)</f>
        <v/>
      </c>
      <c r="E25" s="52">
        <f>(C25-D25)*10000</f>
        <v/>
      </c>
      <c r="F25" s="52">
        <f>F24+E25</f>
        <v/>
      </c>
      <c r="G25" s="61" t="inlineStr"/>
    </row>
    <row r="26">
      <c r="A26" s="44" t="inlineStr">
        <is>
          <t>9M</t>
        </is>
      </c>
      <c r="B26" s="46">
        <f>data!$C$28</f>
        <v/>
      </c>
      <c r="C26" s="51">
        <f>data!$B$28</f>
        <v/>
      </c>
      <c r="D26" s="47">
        <f>(EXP(SUMPRODUCT(LN(1+$G$6:$G$14*MIN(MAX(B26-$H$6:$H$14,0),$I$6:$I$14)/365)))-1)/(B26/365)</f>
        <v/>
      </c>
      <c r="E26" s="52">
        <f>(C26-D26)*10000</f>
        <v/>
      </c>
      <c r="F26" s="52">
        <f>F25+E26</f>
        <v/>
      </c>
      <c r="G26" s="61" t="inlineStr"/>
    </row>
    <row r="27">
      <c r="A27" s="44" t="inlineStr">
        <is>
          <t>10M</t>
        </is>
      </c>
      <c r="B27" s="46">
        <f>data!$C$29</f>
        <v/>
      </c>
      <c r="C27" s="51">
        <f>data!$B$29</f>
        <v/>
      </c>
      <c r="D27" s="47">
        <f>(EXP(SUMPRODUCT(LN(1+$G$6:$G$14*MIN(MAX(B27-$H$6:$H$14,0),$I$6:$I$14)/365)))-1)/(B27/365)</f>
        <v/>
      </c>
      <c r="E27" s="52">
        <f>(C27-D27)*10000</f>
        <v/>
      </c>
      <c r="F27" s="52">
        <f>F26+E27</f>
        <v/>
      </c>
      <c r="G27" s="61" t="inlineStr"/>
    </row>
    <row r="28">
      <c r="A28" s="44" t="inlineStr">
        <is>
          <t>11M</t>
        </is>
      </c>
      <c r="B28" s="46">
        <f>data!$C$30</f>
        <v/>
      </c>
      <c r="C28" s="51">
        <f>data!$B$30</f>
        <v/>
      </c>
      <c r="D28" s="47">
        <f>(EXP(SUMPRODUCT(LN(1+$G$6:$G$14*MIN(MAX(B28-$H$6:$H$14,0),$I$6:$I$14)/365)))-1)/(B28/365)</f>
        <v/>
      </c>
      <c r="E28" s="52">
        <f>(C28-D28)*10000</f>
        <v/>
      </c>
      <c r="F28" s="52">
        <f>F27+E28</f>
        <v/>
      </c>
      <c r="G28" s="61" t="inlineStr"/>
    </row>
    <row r="29">
      <c r="A29" s="44" t="inlineStr">
        <is>
          <t>12M</t>
        </is>
      </c>
      <c r="B29" s="46">
        <f>data!$C$31</f>
        <v/>
      </c>
      <c r="C29" s="51">
        <f>data!$B$31</f>
        <v/>
      </c>
      <c r="D29" s="47">
        <f>(EXP(SUMPRODUCT(LN(1+$G$6:$G$14*MIN(MAX(B29-$H$6:$H$14,0),$I$6:$I$14)/365)))-1)/(B29/365)</f>
        <v/>
      </c>
      <c r="E29" s="52">
        <f>(C29-D29)*10000</f>
        <v/>
      </c>
      <c r="F29" s="52">
        <f>F28+E29</f>
        <v/>
      </c>
      <c r="G29" s="61" t="inlineStr">
        <is>
          <t>M8超→flat延長</t>
        </is>
      </c>
    </row>
    <row r="30">
      <c r="A30" s="44" t="inlineStr">
        <is>
          <t>15M</t>
        </is>
      </c>
      <c r="B30" s="46">
        <f>data!$C$32</f>
        <v/>
      </c>
      <c r="C30" s="51">
        <f>data!$B$32</f>
        <v/>
      </c>
      <c r="D30" s="47">
        <f>(EXP(SUMPRODUCT(LN(1+$G$6:$G$14*MIN(MAX(B30-$H$6:$H$14,0),$I$6:$I$14)/365)))-1)/(B30/365)</f>
        <v/>
      </c>
      <c r="E30" s="52">
        <f>(C30-D30)*10000</f>
        <v/>
      </c>
      <c r="F30" s="52">
        <f>F29+E30</f>
        <v/>
      </c>
      <c r="G30" s="61" t="inlineStr">
        <is>
          <t>M8超→flat延長</t>
        </is>
      </c>
    </row>
    <row r="32">
      <c r="A32" s="59" t="inlineStr">
        <is>
          <t>【解釈】 残差 ≈ 0  →  市場スポットと BOJ グリッドの整合性が高い</t>
        </is>
      </c>
    </row>
    <row r="33">
      <c r="A33" s="59" t="inlineStr">
        <is>
          <t xml:space="preserve">        残差が大きいテナー = 市場スポット曲線と BOJ 価格の乖離（歪み）</t>
        </is>
      </c>
    </row>
    <row r="34">
      <c r="A34" s="59" t="inlineStr">
        <is>
          <t xml:space="preserve">        12M・15M は M8 発効日（約 358 日）を超えるため flat 延長で近似（誤差大きめ）</t>
        </is>
      </c>
    </row>
    <row r="35">
      <c r="A35" s="59" t="inlineStr">
        <is>
          <t>【注意】 LET 関数は Excel 365 / Excel 2021 以降が必要です</t>
        </is>
      </c>
    </row>
  </sheetData>
  <mergeCells count="3">
    <mergeCell ref="A1:J1"/>
    <mergeCell ref="A4:J4"/>
    <mergeCell ref="A16:G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6" customWidth="1" min="3" max="3"/>
    <col width="16" customWidth="1" min="4" max="4"/>
    <col width="10" customWidth="1" min="5" max="5"/>
    <col width="14" customWidth="1" min="6" max="6"/>
    <col width="12" customWidth="1" min="7" max="7"/>
    <col width="14" customWidth="1" min="8" max="8"/>
    <col width="22" customWidth="1" min="9" max="9"/>
  </cols>
  <sheetData>
    <row r="1" ht="30" customHeight="1">
      <c r="A1" s="38" t="inlineStr">
        <is>
          <t>利上げパス  →  理論 BOJ グリッドレート・スポット OIS 曲線（2Y まで）</t>
        </is>
      </c>
    </row>
    <row r="2">
      <c r="A2" s="59" t="inlineStr">
        <is>
          <t>【使い方】 D5 に現在政策金利を入力。C7:C14（黄色セル）に各会合の利上げ幅（bp）を入力。0 = 据え置き、25 = 25bp 利上げ、-10 = 10bp 引下げ。</t>
        </is>
      </c>
    </row>
    <row r="4">
      <c r="A4" s="60" t="inlineStr">
        <is>
          <t>入力: 現在政策金利・各会合の利上げ幅</t>
        </is>
      </c>
      <c r="B4" s="41" t="n"/>
      <c r="C4" s="41" t="n"/>
      <c r="D4" s="42" t="n"/>
    </row>
    <row r="5" ht="30" customHeight="1">
      <c r="A5" s="43" t="inlineStr">
        <is>
          <t>会合</t>
        </is>
      </c>
      <c r="B5" s="43" t="inlineStr">
        <is>
          <t>MPM発効日</t>
        </is>
      </c>
      <c r="C5" s="43" t="inlineStr">
        <is>
          <t>利上げ幅(bp)
★ここを入力★</t>
        </is>
      </c>
      <c r="D5" s="43" t="inlineStr">
        <is>
          <t>期間中
政策金利</t>
        </is>
      </c>
    </row>
    <row r="6">
      <c r="A6" s="44" t="inlineStr">
        <is>
          <t>現在</t>
        </is>
      </c>
      <c r="B6" s="45">
        <f>data!$B$5</f>
        <v/>
      </c>
      <c r="C6" s="53" t="inlineStr">
        <is>
          <t>─</t>
        </is>
      </c>
      <c r="D6" s="51" t="n">
        <v>0.00495</v>
      </c>
    </row>
    <row r="7">
      <c r="A7" s="44" t="inlineStr">
        <is>
          <t>M1</t>
        </is>
      </c>
      <c r="B7" s="45">
        <f>data!$C$9</f>
        <v/>
      </c>
      <c r="C7" s="54" t="n">
        <v>0</v>
      </c>
      <c r="D7" s="47">
        <f>D6</f>
        <v/>
      </c>
    </row>
    <row r="8">
      <c r="A8" s="44" t="inlineStr">
        <is>
          <t>M2</t>
        </is>
      </c>
      <c r="B8" s="45">
        <f>data!$C$10</f>
        <v/>
      </c>
      <c r="C8" s="54" t="n">
        <v>0</v>
      </c>
      <c r="D8" s="47">
        <f>D7+C7/10000</f>
        <v/>
      </c>
    </row>
    <row r="9">
      <c r="A9" s="44" t="inlineStr">
        <is>
          <t>M3</t>
        </is>
      </c>
      <c r="B9" s="45">
        <f>data!$C$11</f>
        <v/>
      </c>
      <c r="C9" s="54" t="n">
        <v>0</v>
      </c>
      <c r="D9" s="47">
        <f>D8+C8/10000</f>
        <v/>
      </c>
    </row>
    <row r="10">
      <c r="A10" s="44" t="inlineStr">
        <is>
          <t>M4</t>
        </is>
      </c>
      <c r="B10" s="45">
        <f>data!$C$12</f>
        <v/>
      </c>
      <c r="C10" s="54" t="n">
        <v>0</v>
      </c>
      <c r="D10" s="47">
        <f>D9+C9/10000</f>
        <v/>
      </c>
    </row>
    <row r="11">
      <c r="A11" s="44" t="inlineStr">
        <is>
          <t>M5</t>
        </is>
      </c>
      <c r="B11" s="45">
        <f>data!$C$13</f>
        <v/>
      </c>
      <c r="C11" s="54" t="n">
        <v>0</v>
      </c>
      <c r="D11" s="47">
        <f>D10+C10/10000</f>
        <v/>
      </c>
    </row>
    <row r="12">
      <c r="A12" s="44" t="inlineStr">
        <is>
          <t>M6</t>
        </is>
      </c>
      <c r="B12" s="45">
        <f>data!$C$14</f>
        <v/>
      </c>
      <c r="C12" s="54" t="n">
        <v>0</v>
      </c>
      <c r="D12" s="47">
        <f>D11+C11/10000</f>
        <v/>
      </c>
    </row>
    <row r="13">
      <c r="A13" s="44" t="inlineStr">
        <is>
          <t>M7</t>
        </is>
      </c>
      <c r="B13" s="45">
        <f>data!$C$15</f>
        <v/>
      </c>
      <c r="C13" s="54" t="n">
        <v>0</v>
      </c>
      <c r="D13" s="47">
        <f>D12+C12/10000</f>
        <v/>
      </c>
    </row>
    <row r="14">
      <c r="A14" s="44" t="inlineStr">
        <is>
          <t>M8</t>
        </is>
      </c>
      <c r="B14" s="45">
        <f>data!$C$16</f>
        <v/>
      </c>
      <c r="C14" s="54" t="n">
        <v>0</v>
      </c>
      <c r="D14" s="47">
        <f>D13+C13/10000</f>
        <v/>
      </c>
    </row>
    <row r="15">
      <c r="A15" s="55" t="inlineStr">
        <is>
          <t>M8後</t>
        </is>
      </c>
      <c r="D15" s="47">
        <f>D14+C14/10000</f>
        <v/>
      </c>
      <c r="E15" s="59" t="inlineStr">
        <is>
          <t>← M8 会合後の最終政策金利</t>
        </is>
      </c>
    </row>
    <row r="17">
      <c r="A17" s="60" t="inlineStr">
        <is>
          <t>理論グリッドレート・複利計算テーブル（ACT/365 Fixed）</t>
        </is>
      </c>
      <c r="B17" s="41" t="n"/>
      <c r="C17" s="41" t="n"/>
      <c r="D17" s="41" t="n"/>
      <c r="E17" s="41" t="n"/>
      <c r="F17" s="41" t="n"/>
      <c r="G17" s="41" t="n"/>
      <c r="H17" s="41" t="n"/>
      <c r="I17" s="42" t="n"/>
    </row>
    <row r="18" ht="30" customHeight="1">
      <c r="A18" s="43" t="inlineStr">
        <is>
          <t>会合</t>
        </is>
      </c>
      <c r="B18" s="43" t="inlineStr">
        <is>
          <t>期間開始
日数</t>
        </is>
      </c>
      <c r="C18" s="43" t="inlineStr">
        <is>
          <t>期間終了
日数</t>
        </is>
      </c>
      <c r="D18" s="43" t="inlineStr">
        <is>
          <t>期間
日数</t>
        </is>
      </c>
      <c r="E18" s="43" t="inlineStr">
        <is>
          <t>グリッドレート
(期間中政策金利)</t>
        </is>
      </c>
      <c r="F18" s="43" t="inlineStr">
        <is>
          <t>期間複利係数</t>
        </is>
      </c>
      <c r="G18" s="43" t="inlineStr">
        <is>
          <t>累積複利係数</t>
        </is>
      </c>
      <c r="H18" s="43" t="inlineStr">
        <is>
          <t>理論スポット OIS</t>
        </is>
      </c>
      <c r="I18" s="43" t="inlineStr">
        <is>
          <t>備考</t>
        </is>
      </c>
    </row>
    <row r="19">
      <c r="A19" s="44" t="inlineStr">
        <is>
          <t>M1</t>
        </is>
      </c>
      <c r="B19" s="46">
        <f>0</f>
        <v/>
      </c>
      <c r="C19" s="46">
        <f>data!$D$9</f>
        <v/>
      </c>
      <c r="D19" s="46">
        <f>C19-B19</f>
        <v/>
      </c>
      <c r="E19" s="47">
        <f>$D$7</f>
        <v/>
      </c>
      <c r="F19" s="48">
        <f>1+E19*D19/365</f>
        <v/>
      </c>
      <c r="G19" s="48">
        <f>F19</f>
        <v/>
      </c>
      <c r="H19" s="47">
        <f>(G19-1)/(C19/365)</f>
        <v/>
      </c>
    </row>
    <row r="20">
      <c r="A20" s="44" t="inlineStr">
        <is>
          <t>M2</t>
        </is>
      </c>
      <c r="B20" s="46">
        <f>C19</f>
        <v/>
      </c>
      <c r="C20" s="46">
        <f>data!$D$10</f>
        <v/>
      </c>
      <c r="D20" s="46">
        <f>C20-B20</f>
        <v/>
      </c>
      <c r="E20" s="47">
        <f>$D$8</f>
        <v/>
      </c>
      <c r="F20" s="48">
        <f>1+E20*D20/365</f>
        <v/>
      </c>
      <c r="G20" s="48">
        <f>G19*F20</f>
        <v/>
      </c>
      <c r="H20" s="47">
        <f>(G20-1)/(C20/365)</f>
        <v/>
      </c>
    </row>
    <row r="21">
      <c r="A21" s="44" t="inlineStr">
        <is>
          <t>M3</t>
        </is>
      </c>
      <c r="B21" s="46">
        <f>C20</f>
        <v/>
      </c>
      <c r="C21" s="46">
        <f>data!$D$11</f>
        <v/>
      </c>
      <c r="D21" s="46">
        <f>C21-B21</f>
        <v/>
      </c>
      <c r="E21" s="47">
        <f>$D$9</f>
        <v/>
      </c>
      <c r="F21" s="48">
        <f>1+E21*D21/365</f>
        <v/>
      </c>
      <c r="G21" s="48">
        <f>G20*F21</f>
        <v/>
      </c>
      <c r="H21" s="47">
        <f>(G21-1)/(C21/365)</f>
        <v/>
      </c>
    </row>
    <row r="22">
      <c r="A22" s="44" t="inlineStr">
        <is>
          <t>M4</t>
        </is>
      </c>
      <c r="B22" s="46">
        <f>C21</f>
        <v/>
      </c>
      <c r="C22" s="46">
        <f>data!$D$12</f>
        <v/>
      </c>
      <c r="D22" s="46">
        <f>C22-B22</f>
        <v/>
      </c>
      <c r="E22" s="47">
        <f>$D$10</f>
        <v/>
      </c>
      <c r="F22" s="48">
        <f>1+E22*D22/365</f>
        <v/>
      </c>
      <c r="G22" s="48">
        <f>G21*F22</f>
        <v/>
      </c>
      <c r="H22" s="47">
        <f>(G22-1)/(C22/365)</f>
        <v/>
      </c>
    </row>
    <row r="23">
      <c r="A23" s="44" t="inlineStr">
        <is>
          <t>M5</t>
        </is>
      </c>
      <c r="B23" s="46">
        <f>C22</f>
        <v/>
      </c>
      <c r="C23" s="46">
        <f>data!$D$13</f>
        <v/>
      </c>
      <c r="D23" s="46">
        <f>C23-B23</f>
        <v/>
      </c>
      <c r="E23" s="47">
        <f>$D$11</f>
        <v/>
      </c>
      <c r="F23" s="48">
        <f>1+E23*D23/365</f>
        <v/>
      </c>
      <c r="G23" s="48">
        <f>G22*F23</f>
        <v/>
      </c>
      <c r="H23" s="47">
        <f>(G23-1)/(C23/365)</f>
        <v/>
      </c>
    </row>
    <row r="24">
      <c r="A24" s="44" t="inlineStr">
        <is>
          <t>M6</t>
        </is>
      </c>
      <c r="B24" s="46">
        <f>C23</f>
        <v/>
      </c>
      <c r="C24" s="46">
        <f>data!$D$14</f>
        <v/>
      </c>
      <c r="D24" s="46">
        <f>C24-B24</f>
        <v/>
      </c>
      <c r="E24" s="47">
        <f>$D$12</f>
        <v/>
      </c>
      <c r="F24" s="48">
        <f>1+E24*D24/365</f>
        <v/>
      </c>
      <c r="G24" s="48">
        <f>G23*F24</f>
        <v/>
      </c>
      <c r="H24" s="47">
        <f>(G24-1)/(C24/365)</f>
        <v/>
      </c>
    </row>
    <row r="25">
      <c r="A25" s="44" t="inlineStr">
        <is>
          <t>M7</t>
        </is>
      </c>
      <c r="B25" s="46">
        <f>C24</f>
        <v/>
      </c>
      <c r="C25" s="46">
        <f>data!$D$15</f>
        <v/>
      </c>
      <c r="D25" s="46">
        <f>C25-B25</f>
        <v/>
      </c>
      <c r="E25" s="47">
        <f>$D$13</f>
        <v/>
      </c>
      <c r="F25" s="48">
        <f>1+E25*D25/365</f>
        <v/>
      </c>
      <c r="G25" s="48">
        <f>G24*F25</f>
        <v/>
      </c>
      <c r="H25" s="47">
        <f>(G25-1)/(C25/365)</f>
        <v/>
      </c>
    </row>
    <row r="26">
      <c r="A26" s="44" t="inlineStr">
        <is>
          <t>M8</t>
        </is>
      </c>
      <c r="B26" s="46">
        <f>C25</f>
        <v/>
      </c>
      <c r="C26" s="46">
        <f>data!$D$16</f>
        <v/>
      </c>
      <c r="D26" s="46">
        <f>C26-B26</f>
        <v/>
      </c>
      <c r="E26" s="47">
        <f>$D$14</f>
        <v/>
      </c>
      <c r="F26" s="48">
        <f>1+E26*D26/365</f>
        <v/>
      </c>
      <c r="G26" s="48">
        <f>G25*F26</f>
        <v/>
      </c>
      <c r="H26" s="47">
        <f>(G26-1)/(C26/365)</f>
        <v/>
      </c>
    </row>
    <row r="27">
      <c r="A27" s="50" t="inlineStr">
        <is>
          <t>M8以降
(flat)</t>
        </is>
      </c>
      <c r="B27" s="46">
        <f>C26</f>
        <v/>
      </c>
      <c r="C27" s="46">
        <f>C26+3650</f>
        <v/>
      </c>
      <c r="D27" s="46">
        <f>3650</f>
        <v/>
      </c>
      <c r="E27" s="47">
        <f>$D$15</f>
        <v/>
      </c>
      <c r="F27" s="48">
        <f>1+E27*D27/365</f>
        <v/>
      </c>
      <c r="I27" s="59" t="inlineStr">
        <is>
          <t>← 2Y（730d）等の長テナー計算用 flat 延長ダミー</t>
        </is>
      </c>
    </row>
    <row r="29">
      <c r="A29" s="60" t="inlineStr">
        <is>
          <t>理論スポット OIS 曲線（1M〜2Y）vs 市場スポット OIS</t>
        </is>
      </c>
      <c r="B29" s="41" t="n"/>
      <c r="C29" s="41" t="n"/>
      <c r="D29" s="41" t="n"/>
      <c r="E29" s="41" t="n"/>
      <c r="F29" s="41" t="n"/>
      <c r="G29" s="41" t="n"/>
      <c r="H29" s="41" t="n"/>
      <c r="I29" s="42" t="n"/>
    </row>
    <row r="30" ht="30" customHeight="1">
      <c r="A30" s="43" t="inlineStr">
        <is>
          <t>テナー</t>
        </is>
      </c>
      <c r="B30" s="43" t="inlineStr">
        <is>
          <t>実日数
(概算)</t>
        </is>
      </c>
      <c r="C30" s="43" t="inlineStr">
        <is>
          <t>理論スポット OIS</t>
        </is>
      </c>
      <c r="D30" s="43" t="inlineStr">
        <is>
          <t>市場スポット OIS
(参考: data シート)</t>
        </is>
      </c>
      <c r="E30" s="43" t="inlineStr">
        <is>
          <t>差分
理論－市場 (bp)</t>
        </is>
      </c>
      <c r="F30" s="43" t="inlineStr"/>
      <c r="G30" s="43" t="inlineStr"/>
      <c r="H30" s="43" t="inlineStr"/>
      <c r="I30" s="43" t="inlineStr"/>
    </row>
    <row r="31">
      <c r="A31" s="44" t="inlineStr">
        <is>
          <t>1M</t>
        </is>
      </c>
      <c r="B31" s="46">
        <f>EDATE(data!$B$5,1)-data!$B$5</f>
        <v/>
      </c>
      <c r="C31" s="47">
        <f>(EXP(SUMPRODUCT(LN(1+$E$19:$E$27*MIN(MAX(B31-$B$19:$B$27,0),$D$19:$D$27)/365)))-1)/(B31/365)</f>
        <v/>
      </c>
      <c r="D31" s="47">
        <f>data!$B$20</f>
        <v/>
      </c>
      <c r="E31" s="52">
        <f>(C31-D31)*10000</f>
        <v/>
      </c>
    </row>
    <row r="32">
      <c r="A32" s="44" t="inlineStr">
        <is>
          <t>2M</t>
        </is>
      </c>
      <c r="B32" s="46">
        <f>EDATE(data!$B$5,2)-data!$B$5</f>
        <v/>
      </c>
      <c r="C32" s="47">
        <f>(EXP(SUMPRODUCT(LN(1+$E$19:$E$27*MIN(MAX(B32-$B$19:$B$27,0),$D$19:$D$27)/365)))-1)/(B32/365)</f>
        <v/>
      </c>
      <c r="D32" s="47">
        <f>data!$B$21</f>
        <v/>
      </c>
      <c r="E32" s="52">
        <f>(C32-D32)*10000</f>
        <v/>
      </c>
    </row>
    <row r="33">
      <c r="A33" s="44" t="inlineStr">
        <is>
          <t>3M</t>
        </is>
      </c>
      <c r="B33" s="46">
        <f>EDATE(data!$B$5,3)-data!$B$5</f>
        <v/>
      </c>
      <c r="C33" s="47">
        <f>(EXP(SUMPRODUCT(LN(1+$E$19:$E$27*MIN(MAX(B33-$B$19:$B$27,0),$D$19:$D$27)/365)))-1)/(B33/365)</f>
        <v/>
      </c>
      <c r="D33" s="47">
        <f>data!$B$22</f>
        <v/>
      </c>
      <c r="E33" s="52">
        <f>(C33-D33)*10000</f>
        <v/>
      </c>
    </row>
    <row r="34">
      <c r="A34" s="44" t="inlineStr">
        <is>
          <t>4M</t>
        </is>
      </c>
      <c r="B34" s="46">
        <f>EDATE(data!$B$5,4)-data!$B$5</f>
        <v/>
      </c>
      <c r="C34" s="47">
        <f>(EXP(SUMPRODUCT(LN(1+$E$19:$E$27*MIN(MAX(B34-$B$19:$B$27,0),$D$19:$D$27)/365)))-1)/(B34/365)</f>
        <v/>
      </c>
      <c r="D34" s="47">
        <f>data!$B$23</f>
        <v/>
      </c>
      <c r="E34" s="52">
        <f>(C34-D34)*10000</f>
        <v/>
      </c>
    </row>
    <row r="35">
      <c r="A35" s="44" t="inlineStr">
        <is>
          <t>5M</t>
        </is>
      </c>
      <c r="B35" s="46">
        <f>EDATE(data!$B$5,5)-data!$B$5</f>
        <v/>
      </c>
      <c r="C35" s="47">
        <f>(EXP(SUMPRODUCT(LN(1+$E$19:$E$27*MIN(MAX(B35-$B$19:$B$27,0),$D$19:$D$27)/365)))-1)/(B35/365)</f>
        <v/>
      </c>
      <c r="D35" s="47">
        <f>data!$B$24</f>
        <v/>
      </c>
      <c r="E35" s="52">
        <f>(C35-D35)*10000</f>
        <v/>
      </c>
    </row>
    <row r="36">
      <c r="A36" s="44" t="inlineStr">
        <is>
          <t>6M</t>
        </is>
      </c>
      <c r="B36" s="46">
        <f>EDATE(data!$B$5,6)-data!$B$5</f>
        <v/>
      </c>
      <c r="C36" s="47">
        <f>(EXP(SUMPRODUCT(LN(1+$E$19:$E$27*MIN(MAX(B36-$B$19:$B$27,0),$D$19:$D$27)/365)))-1)/(B36/365)</f>
        <v/>
      </c>
      <c r="D36" s="47">
        <f>data!$B$25</f>
        <v/>
      </c>
      <c r="E36" s="52">
        <f>(C36-D36)*10000</f>
        <v/>
      </c>
    </row>
    <row r="37">
      <c r="A37" s="44" t="inlineStr">
        <is>
          <t>7M</t>
        </is>
      </c>
      <c r="B37" s="46">
        <f>EDATE(data!$B$5,7)-data!$B$5</f>
        <v/>
      </c>
      <c r="C37" s="47">
        <f>(EXP(SUMPRODUCT(LN(1+$E$19:$E$27*MIN(MAX(B37-$B$19:$B$27,0),$D$19:$D$27)/365)))-1)/(B37/365)</f>
        <v/>
      </c>
      <c r="D37" s="47">
        <f>data!$B$26</f>
        <v/>
      </c>
      <c r="E37" s="52">
        <f>(C37-D37)*10000</f>
        <v/>
      </c>
    </row>
    <row r="38">
      <c r="A38" s="44" t="inlineStr">
        <is>
          <t>8M</t>
        </is>
      </c>
      <c r="B38" s="46">
        <f>EDATE(data!$B$5,8)-data!$B$5</f>
        <v/>
      </c>
      <c r="C38" s="47">
        <f>(EXP(SUMPRODUCT(LN(1+$E$19:$E$27*MIN(MAX(B38-$B$19:$B$27,0),$D$19:$D$27)/365)))-1)/(B38/365)</f>
        <v/>
      </c>
      <c r="D38" s="47">
        <f>data!$B$27</f>
        <v/>
      </c>
      <c r="E38" s="52">
        <f>(C38-D38)*10000</f>
        <v/>
      </c>
    </row>
    <row r="39">
      <c r="A39" s="44" t="inlineStr">
        <is>
          <t>9M</t>
        </is>
      </c>
      <c r="B39" s="46">
        <f>EDATE(data!$B$5,9)-data!$B$5</f>
        <v/>
      </c>
      <c r="C39" s="47">
        <f>(EXP(SUMPRODUCT(LN(1+$E$19:$E$27*MIN(MAX(B39-$B$19:$B$27,0),$D$19:$D$27)/365)))-1)/(B39/365)</f>
        <v/>
      </c>
      <c r="D39" s="47">
        <f>data!$B$28</f>
        <v/>
      </c>
      <c r="E39" s="52">
        <f>(C39-D39)*10000</f>
        <v/>
      </c>
    </row>
    <row r="40">
      <c r="A40" s="44" t="inlineStr">
        <is>
          <t>10M</t>
        </is>
      </c>
      <c r="B40" s="46">
        <f>EDATE(data!$B$5,10)-data!$B$5</f>
        <v/>
      </c>
      <c r="C40" s="47">
        <f>(EXP(SUMPRODUCT(LN(1+$E$19:$E$27*MIN(MAX(B40-$B$19:$B$27,0),$D$19:$D$27)/365)))-1)/(B40/365)</f>
        <v/>
      </c>
      <c r="D40" s="47">
        <f>data!$B$29</f>
        <v/>
      </c>
      <c r="E40" s="52">
        <f>(C40-D40)*10000</f>
        <v/>
      </c>
    </row>
    <row r="41">
      <c r="A41" s="44" t="inlineStr">
        <is>
          <t>11M</t>
        </is>
      </c>
      <c r="B41" s="46">
        <f>EDATE(data!$B$5,11)-data!$B$5</f>
        <v/>
      </c>
      <c r="C41" s="47">
        <f>(EXP(SUMPRODUCT(LN(1+$E$19:$E$27*MIN(MAX(B41-$B$19:$B$27,0),$D$19:$D$27)/365)))-1)/(B41/365)</f>
        <v/>
      </c>
      <c r="D41" s="47">
        <f>data!$B$30</f>
        <v/>
      </c>
      <c r="E41" s="52">
        <f>(C41-D41)*10000</f>
        <v/>
      </c>
    </row>
    <row r="42">
      <c r="A42" s="44" t="inlineStr">
        <is>
          <t>12M</t>
        </is>
      </c>
      <c r="B42" s="46">
        <f>EDATE(data!$B$5,12)-data!$B$5</f>
        <v/>
      </c>
      <c r="C42" s="47">
        <f>(EXP(SUMPRODUCT(LN(1+$E$19:$E$27*MIN(MAX(B42-$B$19:$B$27,0),$D$19:$D$27)/365)))-1)/(B42/365)</f>
        <v/>
      </c>
      <c r="D42" s="47">
        <f>data!$B$31</f>
        <v/>
      </c>
      <c r="E42" s="52">
        <f>(C42-D42)*10000</f>
        <v/>
      </c>
    </row>
    <row r="43">
      <c r="A43" s="44" t="inlineStr">
        <is>
          <t>15M</t>
        </is>
      </c>
      <c r="B43" s="46">
        <f>EDATE(data!$B$5,15)-data!$B$5</f>
        <v/>
      </c>
      <c r="C43" s="47">
        <f>(EXP(SUMPRODUCT(LN(1+$E$19:$E$27*MIN(MAX(B43-$B$19:$B$27,0),$D$19:$D$27)/365)))-1)/(B43/365)</f>
        <v/>
      </c>
      <c r="D43" s="47">
        <f>data!$B$32</f>
        <v/>
      </c>
      <c r="E43" s="52">
        <f>(C43-D43)*10000</f>
        <v/>
      </c>
    </row>
    <row r="44">
      <c r="A44" s="44" t="inlineStr">
        <is>
          <t>18M</t>
        </is>
      </c>
      <c r="B44" s="46">
        <f>EDATE(data!$B$5,18)-data!$B$5</f>
        <v/>
      </c>
      <c r="C44" s="47">
        <f>(EXP(SUMPRODUCT(LN(1+$E$19:$E$27*MIN(MAX(B44-$B$19:$B$27,0),$D$19:$D$27)/365)))-1)/(B44/365)</f>
        <v/>
      </c>
      <c r="D44" s="53" t="inlineStr">
        <is>
          <t>─</t>
        </is>
      </c>
      <c r="E44" s="53" t="inlineStr">
        <is>
          <t>─</t>
        </is>
      </c>
    </row>
    <row r="45">
      <c r="A45" s="44" t="inlineStr">
        <is>
          <t>21M</t>
        </is>
      </c>
      <c r="B45" s="46">
        <f>EDATE(data!$B$5,21)-data!$B$5</f>
        <v/>
      </c>
      <c r="C45" s="47">
        <f>(EXP(SUMPRODUCT(LN(1+$E$19:$E$27*MIN(MAX(B45-$B$19:$B$27,0),$D$19:$D$27)/365)))-1)/(B45/365)</f>
        <v/>
      </c>
      <c r="D45" s="53" t="inlineStr">
        <is>
          <t>─</t>
        </is>
      </c>
      <c r="E45" s="53" t="inlineStr">
        <is>
          <t>─</t>
        </is>
      </c>
    </row>
    <row r="46">
      <c r="A46" s="44" t="inlineStr">
        <is>
          <t>2Y</t>
        </is>
      </c>
      <c r="B46" s="46">
        <f>EDATE(data!$B$5,24)-data!$B$5</f>
        <v/>
      </c>
      <c r="C46" s="47">
        <f>(EXP(SUMPRODUCT(LN(1+$E$19:$E$27*MIN(MAX(B46-$B$19:$B$27,0),$D$19:$D$27)/365)))-1)/(B46/365)</f>
        <v/>
      </c>
      <c r="D46" s="53" t="inlineStr">
        <is>
          <t>─</t>
        </is>
      </c>
      <c r="E46" s="53" t="inlineStr">
        <is>
          <t>─</t>
        </is>
      </c>
    </row>
    <row r="48">
      <c r="A48" s="59" t="inlineStr">
        <is>
          <t>【差分の解釈】</t>
        </is>
      </c>
    </row>
    <row r="49">
      <c r="A49" s="59" t="inlineStr">
        <is>
          <t xml:space="preserve">  正値 (+bp): 利上げパス想定より市場は緩和的（ハト派的）</t>
        </is>
      </c>
    </row>
    <row r="50">
      <c r="A50" s="59" t="inlineStr">
        <is>
          <t xml:space="preserve">  負値 (−bp): 利上げパス想定より市場は積極的（タカ派的）</t>
        </is>
      </c>
    </row>
    <row r="51">
      <c r="A51" s="59" t="inlineStr">
        <is>
          <t xml:space="preserve">  2Y（18M〜）は市場クォートなし。理論値のみ表示。</t>
        </is>
      </c>
    </row>
    <row r="52">
      <c r="A52" s="59" t="inlineStr">
        <is>
          <t>【前提】 確率論的不確実性なし（パスの確実実現を仮定）。</t>
        </is>
      </c>
    </row>
    <row r="53">
      <c r="A53" s="59" t="inlineStr">
        <is>
          <t xml:space="preserve">        タームプレミアム・凸性調整は含まず。</t>
        </is>
      </c>
    </row>
    <row r="54">
      <c r="A54" s="59" t="inlineStr">
        <is>
          <t>【注意】 LET 関数不使用のため Excel 2016 以降で動作します。</t>
        </is>
      </c>
    </row>
  </sheetData>
  <mergeCells count="4">
    <mergeCell ref="A1:I1"/>
    <mergeCell ref="A17:I17"/>
    <mergeCell ref="A4:D4"/>
    <mergeCell ref="A29:I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2026-03-22T02:40:07Z</dcterms:created>
  <dcterms:modified xsi:type="dcterms:W3CDTF">2026-04-19T14:42:22Z</dcterms:modified>
</cp:coreProperties>
</file>