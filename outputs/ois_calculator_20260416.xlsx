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設定" sheetId="1" state="visible" r:id="rId1"/>
    <sheet name="BOJ→スポット" sheetId="2" state="visible" r:id="rId2"/>
    <sheet name="スポット→BOJ" sheetId="3" state="visible" r:id="rId3"/>
    <sheet name="利上げパ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/mm/dd"/>
    <numFmt numFmtId="166" formatCode="0.000%"/>
    <numFmt numFmtId="167" formatCode="YYYY/MM/DD"/>
    <numFmt numFmtId="168" formatCode="0.00000"/>
    <numFmt numFmtId="169" formatCode="0.000000"/>
  </numFmts>
  <fonts count="5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b val="1"/>
      <sz val="10"/>
    </font>
    <font>
      <name val="Meiryo UI"/>
      <b val="1"/>
      <color rgb="00FFFFFF"/>
      <sz val="10"/>
    </font>
    <font>
      <name val="Meiryo UI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5" fontId="0" fillId="5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7" fontId="0" fillId="4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7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169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利上げパス: 政策金利 vs グリッドレート vs スポット2Y</a:t>
            </a:r>
          </a:p>
        </rich>
      </tx>
    </title>
    <plotArea>
      <lineChart>
        <grouping val="standard"/>
        <ser>
          <idx val="0"/>
          <order val="0"/>
          <tx>
            <strRef>
              <f>'利上げパス'!E19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'利上げパス'!$E$20:$E$27</f>
            </numRef>
          </val>
        </ser>
        <ser>
          <idx val="1"/>
          <order val="1"/>
          <tx>
            <strRef>
              <f>'利上げパス'!G19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'利上げパス'!$G$20:$G$27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会合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レート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30" customWidth="1" min="5" max="5"/>
  </cols>
  <sheetData>
    <row r="1" ht="36" customHeight="1">
      <c r="A1" s="1" t="inlineStr">
        <is>
          <t>BOJ OIS 計算ツール  —  設定・MPM 日程</t>
        </is>
      </c>
    </row>
    <row r="3">
      <c r="A3" s="2" t="inlineStr">
        <is>
          <t>基本設定</t>
        </is>
      </c>
      <c r="B3" s="3" t="n"/>
      <c r="C3" s="3" t="n"/>
      <c r="D3" s="4" t="n"/>
    </row>
    <row r="4">
      <c r="A4" s="5" t="inlineStr">
        <is>
          <t>項目</t>
        </is>
      </c>
      <c r="B4" s="5" t="inlineStr">
        <is>
          <t>値</t>
        </is>
      </c>
      <c r="C4" s="5" t="inlineStr">
        <is>
          <t>備考</t>
        </is>
      </c>
      <c r="D4" s="5" t="inlineStr"/>
    </row>
    <row r="5">
      <c r="A5" s="6" t="inlineStr">
        <is>
          <t>本日日付</t>
        </is>
      </c>
      <c r="B5" s="7" t="n">
        <v>46128</v>
      </c>
      <c r="C5" s="8" t="inlineStr"/>
      <c r="D5" s="9" t="inlineStr">
        <is>
          <t>手動入力可（スクリプト再実行で反映）</t>
        </is>
      </c>
    </row>
    <row r="6">
      <c r="A6" s="6" t="inlineStr">
        <is>
          <t>スポット日</t>
        </is>
      </c>
      <c r="B6" s="10" t="n">
        <v>46132</v>
      </c>
      <c r="C6" s="8" t="inlineStr"/>
      <c r="D6" s="9" t="inlineStr">
        <is>
          <t>T+2 東京営業日（自動計算）</t>
        </is>
      </c>
    </row>
    <row r="7">
      <c r="A7" s="6" t="inlineStr">
        <is>
          <t>現在政策金利</t>
        </is>
      </c>
      <c r="B7" s="11" t="n">
        <v>0.0075</v>
      </c>
      <c r="C7" s="8" t="inlineStr"/>
      <c r="D7" s="9" t="inlineStr">
        <is>
          <t>小数で入力（例: 0.75% → 0.00750）</t>
        </is>
      </c>
    </row>
    <row r="9">
      <c r="A9" s="2" t="inlineStr">
        <is>
          <t>MPM 日程（M1〜M8）</t>
        </is>
      </c>
      <c r="B9" s="3" t="n"/>
      <c r="C9" s="3" t="n"/>
      <c r="D9" s="4" t="n"/>
    </row>
    <row r="10">
      <c r="A10" s="5" t="inlineStr">
        <is>
          <t>会合</t>
        </is>
      </c>
      <c r="B10" s="5" t="inlineStr">
        <is>
          <t>発表日（入力）</t>
        </is>
      </c>
      <c r="C10" s="5" t="inlineStr">
        <is>
          <t>発効日（自動）</t>
        </is>
      </c>
      <c r="D10" s="5" t="inlineStr">
        <is>
          <t>会合間日数</t>
        </is>
      </c>
      <c r="E10" s="5" t="inlineStr">
        <is>
          <t>備考</t>
        </is>
      </c>
    </row>
    <row r="11">
      <c r="A11" s="12" t="inlineStr">
        <is>
          <t>M1</t>
        </is>
      </c>
      <c r="B11" s="13" t="n">
        <v>46140</v>
      </c>
      <c r="C11" s="14" t="n">
        <v>46142</v>
      </c>
      <c r="D11" s="15" t="n">
        <v>10</v>
      </c>
      <c r="E11" s="9" t="inlineStr">
        <is>
          <t>← スポット日から</t>
        </is>
      </c>
    </row>
    <row r="12">
      <c r="A12" s="12" t="inlineStr">
        <is>
          <t>M2</t>
        </is>
      </c>
      <c r="B12" s="13" t="n">
        <v>46190</v>
      </c>
      <c r="C12" s="14" t="n">
        <v>46191</v>
      </c>
      <c r="D12" s="15" t="n">
        <v>49</v>
      </c>
      <c r="E12" s="9" t="inlineStr">
        <is>
          <t>← M1 発効日から</t>
        </is>
      </c>
    </row>
    <row r="13">
      <c r="A13" s="12" t="inlineStr">
        <is>
          <t>M3</t>
        </is>
      </c>
      <c r="B13" s="13" t="n">
        <v>46231</v>
      </c>
      <c r="C13" s="14" t="n">
        <v>46232</v>
      </c>
      <c r="D13" s="15" t="n">
        <v>41</v>
      </c>
      <c r="E13" s="9" t="inlineStr">
        <is>
          <t>← M2 発効日から</t>
        </is>
      </c>
    </row>
    <row r="14">
      <c r="A14" s="12" t="inlineStr">
        <is>
          <t>M4</t>
        </is>
      </c>
      <c r="B14" s="13" t="n">
        <v>46283</v>
      </c>
      <c r="C14" s="14" t="n">
        <v>46287</v>
      </c>
      <c r="D14" s="15" t="n">
        <v>55</v>
      </c>
      <c r="E14" s="9" t="inlineStr">
        <is>
          <t>← M3 発効日から</t>
        </is>
      </c>
    </row>
    <row r="15">
      <c r="A15" s="12" t="inlineStr">
        <is>
          <t>M5</t>
        </is>
      </c>
      <c r="B15" s="13" t="n">
        <v>46324</v>
      </c>
      <c r="C15" s="14" t="n">
        <v>46325</v>
      </c>
      <c r="D15" s="15" t="n">
        <v>38</v>
      </c>
      <c r="E15" s="9" t="inlineStr">
        <is>
          <t>← M4 発効日から</t>
        </is>
      </c>
    </row>
    <row r="16">
      <c r="A16" s="12" t="inlineStr">
        <is>
          <t>M6</t>
        </is>
      </c>
      <c r="B16" s="13" t="n">
        <v>46374</v>
      </c>
      <c r="C16" s="14" t="n">
        <v>46377</v>
      </c>
      <c r="D16" s="15" t="n">
        <v>52</v>
      </c>
      <c r="E16" s="9" t="inlineStr">
        <is>
          <t>← M5 発効日から</t>
        </is>
      </c>
    </row>
    <row r="17">
      <c r="A17" s="12" t="inlineStr">
        <is>
          <t>M7</t>
        </is>
      </c>
      <c r="B17" s="13" t="n">
        <v>46409</v>
      </c>
      <c r="C17" s="14" t="n">
        <v>46412</v>
      </c>
      <c r="D17" s="15" t="n">
        <v>35</v>
      </c>
      <c r="E17" s="9" t="inlineStr">
        <is>
          <t>← M6 発効日から</t>
        </is>
      </c>
    </row>
    <row r="18">
      <c r="A18" s="12" t="inlineStr">
        <is>
          <t>M8</t>
        </is>
      </c>
      <c r="B18" s="13" t="n">
        <v>46465</v>
      </c>
      <c r="C18" s="14" t="n">
        <v>46469</v>
      </c>
      <c r="D18" s="15" t="n">
        <v>57</v>
      </c>
      <c r="E18" s="9" t="inlineStr">
        <is>
          <t>← M7 発効日から</t>
        </is>
      </c>
    </row>
    <row r="20">
      <c r="A20" s="9" t="inlineStr">
        <is>
          <t>■ 黄色セル = ユーザー入力   ■ 緑色セル = 計算値</t>
        </is>
      </c>
    </row>
    <row r="21">
      <c r="A21" s="9" t="inlineStr">
        <is>
          <t>入力値を変更したい場合は、値を編集してからスクリプトを再実行してください。</t>
        </is>
      </c>
    </row>
    <row r="22">
      <c r="A22" s="9" t="inlineStr">
        <is>
          <t xml:space="preserve">  python tools/ois_calc.py  → outputs/ に Excel を再生成</t>
        </is>
      </c>
    </row>
  </sheetData>
  <mergeCells count="3">
    <mergeCell ref="A9:D9"/>
    <mergeCell ref="A1:E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8" customWidth="1" min="9" max="9"/>
  </cols>
  <sheetData>
    <row r="1" ht="36" customHeight="1">
      <c r="A1" s="1" t="inlineStr">
        <is>
          <t>BOJグリッドレート → スポットOISレート  変換</t>
        </is>
      </c>
    </row>
    <row r="3">
      <c r="A3" s="2" t="inlineStr">
        <is>
          <t>入力: BOJ グリッドレート (M1〜M8)</t>
        </is>
      </c>
      <c r="B3" s="3" t="n"/>
      <c r="C3" s="4" t="n"/>
    </row>
    <row r="4">
      <c r="A4" s="5" t="inlineStr">
        <is>
          <t>会合</t>
        </is>
      </c>
      <c r="B4" s="5" t="inlineStr">
        <is>
          <t>グリッドレート (%)</t>
        </is>
      </c>
      <c r="C4" s="5" t="inlineStr">
        <is>
          <t>備考</t>
        </is>
      </c>
    </row>
    <row r="5">
      <c r="A5" s="12" t="inlineStr">
        <is>
          <t>M1</t>
        </is>
      </c>
      <c r="B5" s="11" t="n">
        <v>0.0075</v>
      </c>
      <c r="C5" s="16" t="inlineStr">
        <is>
          <t>2026/04/20 ～ 2026/04/30  (10日)</t>
        </is>
      </c>
    </row>
    <row r="6">
      <c r="A6" s="12" t="inlineStr">
        <is>
          <t>M2</t>
        </is>
      </c>
      <c r="B6" s="11" t="n">
        <v>0.0078</v>
      </c>
      <c r="C6" s="16" t="inlineStr">
        <is>
          <t>2026/04/30 ～ 2026/06/18  (49日)</t>
        </is>
      </c>
    </row>
    <row r="7">
      <c r="A7" s="12" t="inlineStr">
        <is>
          <t>M3</t>
        </is>
      </c>
      <c r="B7" s="11" t="n">
        <v>0.008200000000000001</v>
      </c>
      <c r="C7" s="16" t="inlineStr">
        <is>
          <t>2026/06/18 ～ 2026/07/29  (41日)</t>
        </is>
      </c>
    </row>
    <row r="8">
      <c r="A8" s="12" t="inlineStr">
        <is>
          <t>M4</t>
        </is>
      </c>
      <c r="B8" s="11" t="n">
        <v>0.0086</v>
      </c>
      <c r="C8" s="16" t="inlineStr">
        <is>
          <t>2026/07/29 ～ 2026/09/22  (55日)</t>
        </is>
      </c>
    </row>
    <row r="9">
      <c r="A9" s="12" t="inlineStr">
        <is>
          <t>M5</t>
        </is>
      </c>
      <c r="B9" s="11" t="n">
        <v>0.008999999999999999</v>
      </c>
      <c r="C9" s="16" t="inlineStr">
        <is>
          <t>2026/09/22 ～ 2026/10/30  (38日)</t>
        </is>
      </c>
    </row>
    <row r="10">
      <c r="A10" s="12" t="inlineStr">
        <is>
          <t>M6</t>
        </is>
      </c>
      <c r="B10" s="11" t="n">
        <v>0.009299999999999999</v>
      </c>
      <c r="C10" s="16" t="inlineStr">
        <is>
          <t>2026/10/30 ～ 2026/12/21  (52日)</t>
        </is>
      </c>
    </row>
    <row r="11">
      <c r="A11" s="12" t="inlineStr">
        <is>
          <t>M7</t>
        </is>
      </c>
      <c r="B11" s="11" t="n">
        <v>0.009599999999999999</v>
      </c>
      <c r="C11" s="16" t="inlineStr">
        <is>
          <t>2026/12/21 ～ 2027/01/25  (35日)</t>
        </is>
      </c>
    </row>
    <row r="12">
      <c r="A12" s="12" t="inlineStr">
        <is>
          <t>M8</t>
        </is>
      </c>
      <c r="B12" s="11" t="n">
        <v>0.009900000000000001</v>
      </c>
      <c r="C12" s="16" t="inlineStr">
        <is>
          <t>2027/01/25 ～ 2027/03/23  (57日)</t>
        </is>
      </c>
    </row>
    <row r="13">
      <c r="A13" s="9" t="inlineStr">
        <is>
          <t>※ グリッドレートを編集 → スクリプト再実行で再計算</t>
        </is>
      </c>
    </row>
    <row r="14">
      <c r="A14" s="2" t="inlineStr">
        <is>
          <t>複利計算テーブル (ACT/365 Fixed, 線形近似)</t>
        </is>
      </c>
      <c r="B14" s="3" t="n"/>
      <c r="C14" s="3" t="n"/>
      <c r="D14" s="3" t="n"/>
      <c r="E14" s="3" t="n"/>
      <c r="F14" s="3" t="n"/>
      <c r="G14" s="3" t="n"/>
      <c r="H14" s="3" t="n"/>
      <c r="I14" s="4" t="n"/>
    </row>
    <row r="15">
      <c r="A15" s="5" t="inlineStr">
        <is>
          <t>会合</t>
        </is>
      </c>
      <c r="B15" s="5" t="inlineStr">
        <is>
          <t>開始日</t>
        </is>
      </c>
      <c r="C15" s="5" t="inlineStr">
        <is>
          <t>終了日</t>
        </is>
      </c>
      <c r="D15" s="5" t="inlineStr">
        <is>
          <t>日数</t>
        </is>
      </c>
      <c r="E15" s="5" t="inlineStr">
        <is>
          <t>DCF</t>
        </is>
      </c>
      <c r="F15" s="5" t="inlineStr">
        <is>
          <t>グリッドレート</t>
        </is>
      </c>
      <c r="G15" s="5" t="inlineStr">
        <is>
          <t>期間複利係数</t>
        </is>
      </c>
      <c r="H15" s="5" t="inlineStr">
        <is>
          <t>累積複利係数</t>
        </is>
      </c>
      <c r="I15" s="5" t="inlineStr">
        <is>
          <t>スポットOIS</t>
        </is>
      </c>
    </row>
    <row r="16">
      <c r="A16" s="12" t="inlineStr">
        <is>
          <t>M1</t>
        </is>
      </c>
      <c r="B16" s="17" t="n">
        <v>46132</v>
      </c>
      <c r="C16" s="17" t="n">
        <v>46142</v>
      </c>
      <c r="D16" s="18" t="n">
        <v>10</v>
      </c>
      <c r="E16" s="19" t="n">
        <v>0.0273972602739726</v>
      </c>
      <c r="F16" s="11" t="n">
        <v>0.0075</v>
      </c>
      <c r="G16" s="20" t="n">
        <v>1.000205479452055</v>
      </c>
      <c r="H16" s="21" t="n">
        <v>1.000205479452055</v>
      </c>
      <c r="I16" s="22" t="n">
        <v>0.007499999999997842</v>
      </c>
    </row>
    <row r="17">
      <c r="A17" s="12" t="inlineStr">
        <is>
          <t>M2</t>
        </is>
      </c>
      <c r="B17" s="17" t="n">
        <v>46142</v>
      </c>
      <c r="C17" s="17" t="n">
        <v>46191</v>
      </c>
      <c r="D17" s="18" t="n">
        <v>49</v>
      </c>
      <c r="E17" s="19" t="n">
        <v>0.1342465753424658</v>
      </c>
      <c r="F17" s="11" t="n">
        <v>0.0078</v>
      </c>
      <c r="G17" s="20" t="n">
        <v>1.001047123287671</v>
      </c>
      <c r="H17" s="21" t="n">
        <v>1.001252817902045</v>
      </c>
      <c r="I17" s="22" t="n">
        <v>0.007750483631296783</v>
      </c>
    </row>
    <row r="18">
      <c r="A18" s="12" t="inlineStr">
        <is>
          <t>M3</t>
        </is>
      </c>
      <c r="B18" s="17" t="n">
        <v>46191</v>
      </c>
      <c r="C18" s="17" t="n">
        <v>46232</v>
      </c>
      <c r="D18" s="18" t="n">
        <v>41</v>
      </c>
      <c r="E18" s="19" t="n">
        <v>0.1123287671232877</v>
      </c>
      <c r="F18" s="11" t="n">
        <v>0.008200000000000001</v>
      </c>
      <c r="G18" s="20" t="n">
        <v>1.000921095890411</v>
      </c>
      <c r="H18" s="21" t="n">
        <v>1.002175067757877</v>
      </c>
      <c r="I18" s="22" t="n">
        <v>0.007938997316251506</v>
      </c>
    </row>
    <row r="19">
      <c r="A19" s="12" t="inlineStr">
        <is>
          <t>M4</t>
        </is>
      </c>
      <c r="B19" s="17" t="n">
        <v>46232</v>
      </c>
      <c r="C19" s="17" t="n">
        <v>46287</v>
      </c>
      <c r="D19" s="18" t="n">
        <v>55</v>
      </c>
      <c r="E19" s="19" t="n">
        <v>0.1506849315068493</v>
      </c>
      <c r="F19" s="11" t="n">
        <v>0.0086</v>
      </c>
      <c r="G19" s="20" t="n">
        <v>1.001295890410959</v>
      </c>
      <c r="H19" s="21" t="n">
        <v>1.003473776818287</v>
      </c>
      <c r="I19" s="22" t="n">
        <v>0.008180184120481455</v>
      </c>
    </row>
    <row r="20">
      <c r="A20" s="12" t="inlineStr">
        <is>
          <t>M5</t>
        </is>
      </c>
      <c r="B20" s="17" t="n">
        <v>46287</v>
      </c>
      <c r="C20" s="17" t="n">
        <v>46325</v>
      </c>
      <c r="D20" s="18" t="n">
        <v>38</v>
      </c>
      <c r="E20" s="19" t="n">
        <v>0.1041095890410959</v>
      </c>
      <c r="F20" s="11" t="n">
        <v>0.008999999999999999</v>
      </c>
      <c r="G20" s="20" t="n">
        <v>1.00093698630137</v>
      </c>
      <c r="H20" s="21" t="n">
        <v>1.004414018000949</v>
      </c>
      <c r="I20" s="22" t="n">
        <v>0.0083477542505</v>
      </c>
    </row>
    <row r="21">
      <c r="A21" s="12" t="inlineStr">
        <is>
          <t>M6</t>
        </is>
      </c>
      <c r="B21" s="17" t="n">
        <v>46325</v>
      </c>
      <c r="C21" s="17" t="n">
        <v>46377</v>
      </c>
      <c r="D21" s="18" t="n">
        <v>52</v>
      </c>
      <c r="E21" s="19" t="n">
        <v>0.1424657534246575</v>
      </c>
      <c r="F21" s="11" t="n">
        <v>0.009299999999999999</v>
      </c>
      <c r="G21" s="20" t="n">
        <v>1.001324931506849</v>
      </c>
      <c r="H21" s="21" t="n">
        <v>1.00574479777932</v>
      </c>
      <c r="I21" s="22" t="n">
        <v>0.0085585762834766</v>
      </c>
    </row>
    <row r="22">
      <c r="A22" s="12" t="inlineStr">
        <is>
          <t>M7</t>
        </is>
      </c>
      <c r="B22" s="17" t="n">
        <v>46377</v>
      </c>
      <c r="C22" s="17" t="n">
        <v>46412</v>
      </c>
      <c r="D22" s="18" t="n">
        <v>35</v>
      </c>
      <c r="E22" s="19" t="n">
        <v>0.0958904109589041</v>
      </c>
      <c r="F22" s="11" t="n">
        <v>0.009599999999999999</v>
      </c>
      <c r="G22" s="20" t="n">
        <v>1.000920547945205</v>
      </c>
      <c r="H22" s="21" t="n">
        <v>1.006670634086317</v>
      </c>
      <c r="I22" s="22" t="n">
        <v>0.00869564800537718</v>
      </c>
    </row>
    <row r="23">
      <c r="A23" s="12" t="inlineStr">
        <is>
          <t>M8</t>
        </is>
      </c>
      <c r="B23" s="17" t="n">
        <v>46412</v>
      </c>
      <c r="C23" s="17" t="n">
        <v>46469</v>
      </c>
      <c r="D23" s="18" t="n">
        <v>57</v>
      </c>
      <c r="E23" s="19" t="n">
        <v>0.1561643835616438</v>
      </c>
      <c r="F23" s="11" t="n">
        <v>0.009900000000000001</v>
      </c>
      <c r="G23" s="20" t="n">
        <v>1.00154602739726</v>
      </c>
      <c r="H23" s="21" t="n">
        <v>1.008226974466632</v>
      </c>
      <c r="I23" s="22" t="n">
        <v>0.008910521306589203</v>
      </c>
    </row>
    <row r="26">
      <c r="A26" s="2" t="inlineStr">
        <is>
          <t>標準テナー スポットOIS（グリッドから計算）</t>
        </is>
      </c>
      <c r="B26" s="3" t="n"/>
      <c r="C26" s="3" t="n"/>
      <c r="D26" s="3" t="n"/>
      <c r="E26" s="3" t="n"/>
      <c r="F26" s="3" t="n"/>
      <c r="G26" s="3" t="n"/>
      <c r="H26" s="3" t="n"/>
      <c r="I26" s="4" t="n"/>
    </row>
    <row r="27">
      <c r="A27" s="5" t="inlineStr">
        <is>
          <t>テナー</t>
        </is>
      </c>
      <c r="B27" s="5" t="inlineStr">
        <is>
          <t>満期日</t>
        </is>
      </c>
      <c r="C27" s="5" t="inlineStr">
        <is>
          <t>日数</t>
        </is>
      </c>
      <c r="D27" s="5" t="inlineStr">
        <is>
          <t>スポットOIS</t>
        </is>
      </c>
      <c r="E27" s="5" t="inlineStr">
        <is>
          <t>備考</t>
        </is>
      </c>
      <c r="F27" s="5" t="inlineStr"/>
      <c r="G27" s="5" t="inlineStr"/>
      <c r="H27" s="5" t="inlineStr"/>
      <c r="I27" s="5" t="inlineStr"/>
    </row>
    <row r="28">
      <c r="A28" s="12" t="inlineStr">
        <is>
          <t>1M</t>
        </is>
      </c>
      <c r="B28" s="17" t="n">
        <v>46162</v>
      </c>
      <c r="C28" s="18" t="n">
        <v>30</v>
      </c>
      <c r="D28" s="22" t="n">
        <v>0.007701068493149925</v>
      </c>
      <c r="E28" s="16" t="inlineStr">
        <is>
          <t>Modified Following 調整後: 2026/05/20</t>
        </is>
      </c>
    </row>
    <row r="29">
      <c r="A29" s="12" t="inlineStr">
        <is>
          <t>3M</t>
        </is>
      </c>
      <c r="B29" s="17" t="n">
        <v>46224</v>
      </c>
      <c r="C29" s="18" t="n">
        <v>92</v>
      </c>
      <c r="D29" s="22" t="n">
        <v>0.007915408117073799</v>
      </c>
      <c r="E29" s="16" t="inlineStr">
        <is>
          <t>Modified Following 調整後: 2026/07/21</t>
        </is>
      </c>
    </row>
    <row r="30">
      <c r="A30" s="12" t="inlineStr">
        <is>
          <t>6M</t>
        </is>
      </c>
      <c r="B30" s="17" t="n">
        <v>46314</v>
      </c>
      <c r="C30" s="18" t="n">
        <v>182</v>
      </c>
      <c r="D30" s="22" t="n">
        <v>0.008306443222205884</v>
      </c>
      <c r="E30" s="16" t="inlineStr">
        <is>
          <t>Modified Following 調整後: 2026/10/19</t>
        </is>
      </c>
    </row>
    <row r="31">
      <c r="A31" s="12" t="inlineStr">
        <is>
          <t>9M</t>
        </is>
      </c>
      <c r="B31" s="17" t="n">
        <v>46405</v>
      </c>
      <c r="C31" s="18" t="n">
        <v>273</v>
      </c>
      <c r="D31" s="22" t="n">
        <v>0.008671045388625615</v>
      </c>
      <c r="E31" s="16" t="inlineStr">
        <is>
          <t>Modified Following 調整後: 2027/01/18</t>
        </is>
      </c>
    </row>
    <row r="32">
      <c r="A32" s="12" t="inlineStr">
        <is>
          <t>12M</t>
        </is>
      </c>
      <c r="B32" s="17" t="n">
        <v>46497</v>
      </c>
      <c r="C32" s="18" t="n">
        <v>365</v>
      </c>
      <c r="D32" s="23" t="inlineStr">
        <is>
          <t>—</t>
        </is>
      </c>
      <c r="E32" s="16" t="inlineStr">
        <is>
          <t>M8 発効日 (2027/03/23) 以降は範囲外</t>
        </is>
      </c>
    </row>
    <row r="33">
      <c r="A33" s="12" t="inlineStr">
        <is>
          <t>15M</t>
        </is>
      </c>
      <c r="B33" s="17" t="n">
        <v>46588</v>
      </c>
      <c r="C33" s="18" t="n">
        <v>456</v>
      </c>
      <c r="D33" s="23" t="inlineStr">
        <is>
          <t>—</t>
        </is>
      </c>
      <c r="E33" s="16" t="inlineStr">
        <is>
          <t>M8 発効日 (2027/03/23) 以降は範囲外</t>
        </is>
      </c>
    </row>
    <row r="34">
      <c r="A34" s="12" t="inlineStr">
        <is>
          <t>18M</t>
        </is>
      </c>
      <c r="B34" s="17" t="n">
        <v>46679</v>
      </c>
      <c r="C34" s="18" t="n">
        <v>547</v>
      </c>
      <c r="D34" s="23" t="inlineStr">
        <is>
          <t>—</t>
        </is>
      </c>
      <c r="E34" s="16" t="inlineStr">
        <is>
          <t>M8 発効日 (2027/03/23) 以降は範囲外</t>
        </is>
      </c>
    </row>
    <row r="35">
      <c r="A35" s="12" t="inlineStr">
        <is>
          <t>2Y</t>
        </is>
      </c>
      <c r="B35" s="17" t="n">
        <v>46862</v>
      </c>
      <c r="C35" s="18" t="n">
        <v>730</v>
      </c>
      <c r="D35" s="23" t="inlineStr">
        <is>
          <t>—</t>
        </is>
      </c>
      <c r="E35" s="16" t="inlineStr">
        <is>
          <t>M8 発効日 (2027/03/23) 以降は範囲外</t>
        </is>
      </c>
    </row>
    <row r="37">
      <c r="A37" s="9" t="inlineStr">
        <is>
          <t>計算式: 1 + R_spot × D/365 = ∏_i (1 + M_i × d_i/365)</t>
        </is>
      </c>
    </row>
    <row r="38">
      <c r="A38" s="9" t="inlineStr">
        <is>
          <t xml:space="preserve">   期間を跨ぐテナーは最終期間を部分カバーして線形補間（末日の残存分を按分）</t>
        </is>
      </c>
    </row>
  </sheetData>
  <mergeCells count="4">
    <mergeCell ref="A1:I1"/>
    <mergeCell ref="A26:I26"/>
    <mergeCell ref="A3:C3"/>
    <mergeCell ref="A14:I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18" customWidth="1" min="5" max="5"/>
    <col width="18" customWidth="1" min="6" max="6"/>
    <col width="18" customWidth="1" min="7" max="7"/>
    <col width="25" customWidth="1" min="8" max="8"/>
  </cols>
  <sheetData>
    <row r="1" ht="36" customHeight="1">
      <c r="A1" s="1" t="inlineStr">
        <is>
          <t>スポットOISレート → BOJグリッドレート  ブートストラップ</t>
        </is>
      </c>
    </row>
    <row r="2">
      <c r="A2" s="9" t="inlineStr">
        <is>
          <t>各 MPM 発効日（ノード）でのスポットOISレートを入力すると、Forward グリッドレートを逆算します。</t>
        </is>
      </c>
    </row>
    <row r="4">
      <c r="A4" s="2" t="inlineStr">
        <is>
          <t>入力: スポット OIS レート（各 MPM 発効日ノード）</t>
        </is>
      </c>
      <c r="B4" s="3" t="n"/>
      <c r="C4" s="3" t="n"/>
      <c r="D4" s="4" t="n"/>
    </row>
    <row r="5">
      <c r="A5" s="5" t="inlineStr">
        <is>
          <t>会合</t>
        </is>
      </c>
      <c r="B5" s="5" t="inlineStr">
        <is>
          <t>ノード日（MPM発効日）</t>
        </is>
      </c>
      <c r="C5" s="5" t="inlineStr">
        <is>
          <t>スポットOIS（入力）</t>
        </is>
      </c>
      <c r="D5" s="5" t="inlineStr">
        <is>
          <t>日数（対スポット日）</t>
        </is>
      </c>
    </row>
    <row r="6">
      <c r="A6" s="12" t="inlineStr">
        <is>
          <t>M1</t>
        </is>
      </c>
      <c r="B6" s="17" t="n">
        <v>46142</v>
      </c>
      <c r="C6" s="11" t="n">
        <v>0.0075</v>
      </c>
      <c r="D6" s="18" t="n">
        <v>10</v>
      </c>
    </row>
    <row r="7">
      <c r="A7" s="12" t="inlineStr">
        <is>
          <t>M2</t>
        </is>
      </c>
      <c r="B7" s="17" t="n">
        <v>46191</v>
      </c>
      <c r="C7" s="11" t="n">
        <v>0.00765</v>
      </c>
      <c r="D7" s="18" t="n">
        <v>59</v>
      </c>
    </row>
    <row r="8">
      <c r="A8" s="12" t="inlineStr">
        <is>
          <t>M3</t>
        </is>
      </c>
      <c r="B8" s="17" t="n">
        <v>46232</v>
      </c>
      <c r="C8" s="11" t="n">
        <v>0.007849999999999999</v>
      </c>
      <c r="D8" s="18" t="n">
        <v>100</v>
      </c>
    </row>
    <row r="9">
      <c r="A9" s="12" t="inlineStr">
        <is>
          <t>M4</t>
        </is>
      </c>
      <c r="B9" s="17" t="n">
        <v>46287</v>
      </c>
      <c r="C9" s="11" t="n">
        <v>0.0081</v>
      </c>
      <c r="D9" s="18" t="n">
        <v>155</v>
      </c>
    </row>
    <row r="10">
      <c r="A10" s="12" t="inlineStr">
        <is>
          <t>M5</t>
        </is>
      </c>
      <c r="B10" s="17" t="n">
        <v>46325</v>
      </c>
      <c r="C10" s="11" t="n">
        <v>0.008399999999999999</v>
      </c>
      <c r="D10" s="18" t="n">
        <v>193</v>
      </c>
    </row>
    <row r="11">
      <c r="A11" s="12" t="inlineStr">
        <is>
          <t>M6</t>
        </is>
      </c>
      <c r="B11" s="17" t="n">
        <v>46377</v>
      </c>
      <c r="C11" s="11" t="n">
        <v>0.008699999999999999</v>
      </c>
      <c r="D11" s="18" t="n">
        <v>245</v>
      </c>
    </row>
    <row r="12">
      <c r="A12" s="12" t="inlineStr">
        <is>
          <t>M7</t>
        </is>
      </c>
      <c r="B12" s="17" t="n">
        <v>46412</v>
      </c>
      <c r="C12" s="11" t="n">
        <v>0.008999999999999999</v>
      </c>
      <c r="D12" s="18" t="n">
        <v>280</v>
      </c>
    </row>
    <row r="13">
      <c r="A13" s="12" t="inlineStr">
        <is>
          <t>M8</t>
        </is>
      </c>
      <c r="B13" s="17" t="n">
        <v>46469</v>
      </c>
      <c r="C13" s="11" t="n">
        <v>0.00925</v>
      </c>
      <c r="D13" s="18" t="n">
        <v>337</v>
      </c>
    </row>
    <row r="14">
      <c r="A14" s="9" t="inlineStr">
        <is>
          <t>※ スポットOISを編集 → スクリプト再実行で再計算</t>
        </is>
      </c>
    </row>
    <row r="16">
      <c r="A16" s="2" t="inlineStr">
        <is>
          <t>ブートストラップ計算結果</t>
        </is>
      </c>
      <c r="B16" s="3" t="n"/>
      <c r="C16" s="3" t="n"/>
      <c r="D16" s="3" t="n"/>
      <c r="E16" s="3" t="n"/>
      <c r="F16" s="3" t="n"/>
      <c r="G16" s="3" t="n"/>
      <c r="H16" s="4" t="n"/>
    </row>
    <row r="17">
      <c r="A17" s="5" t="inlineStr">
        <is>
          <t>会合</t>
        </is>
      </c>
      <c r="B17" s="5" t="inlineStr">
        <is>
          <t>開始日</t>
        </is>
      </c>
      <c r="C17" s="5" t="inlineStr">
        <is>
          <t>終了日</t>
        </is>
      </c>
      <c r="D17" s="5" t="inlineStr">
        <is>
          <t>日数</t>
        </is>
      </c>
      <c r="E17" s="5" t="inlineStr">
        <is>
          <t>スポットOIS</t>
        </is>
      </c>
      <c r="F17" s="5" t="inlineStr">
        <is>
          <t>累積複利係数</t>
        </is>
      </c>
      <c r="G17" s="5" t="inlineStr">
        <is>
          <t>推定グリッドレート</t>
        </is>
      </c>
      <c r="H17" s="5" t="inlineStr">
        <is>
          <t>逆算精度（再現スポット）</t>
        </is>
      </c>
    </row>
    <row r="18">
      <c r="A18" s="12" t="inlineStr">
        <is>
          <t>M1</t>
        </is>
      </c>
      <c r="B18" s="17" t="n">
        <v>46132</v>
      </c>
      <c r="C18" s="17" t="n">
        <v>46142</v>
      </c>
      <c r="D18" s="18" t="n">
        <v>10</v>
      </c>
      <c r="E18" s="11" t="n">
        <v>0.0075</v>
      </c>
      <c r="F18" s="20" t="n">
        <v>1.000205479452055</v>
      </c>
      <c r="G18" s="22" t="n">
        <v>0.007499999999997842</v>
      </c>
      <c r="H18" s="16" t="inlineStr">
        <is>
          <t>再現 0.7500%  |  差 0.0000bp</t>
        </is>
      </c>
    </row>
    <row r="19">
      <c r="A19" s="12" t="inlineStr">
        <is>
          <t>M2</t>
        </is>
      </c>
      <c r="B19" s="17" t="n">
        <v>46142</v>
      </c>
      <c r="C19" s="17" t="n">
        <v>46191</v>
      </c>
      <c r="D19" s="18" t="n">
        <v>49</v>
      </c>
      <c r="E19" s="11" t="n">
        <v>0.00765</v>
      </c>
      <c r="F19" s="20" t="n">
        <v>1.001236575342466</v>
      </c>
      <c r="G19" s="22" t="n">
        <v>0.007679034361125718</v>
      </c>
      <c r="H19" s="16" t="inlineStr">
        <is>
          <t>再現 0.7650%  |  差 0.0000bp</t>
        </is>
      </c>
    </row>
    <row r="20">
      <c r="A20" s="12" t="inlineStr">
        <is>
          <t>M3</t>
        </is>
      </c>
      <c r="B20" s="17" t="n">
        <v>46191</v>
      </c>
      <c r="C20" s="17" t="n">
        <v>46232</v>
      </c>
      <c r="D20" s="18" t="n">
        <v>41</v>
      </c>
      <c r="E20" s="11" t="n">
        <v>0.007849999999999999</v>
      </c>
      <c r="F20" s="20" t="n">
        <v>1.002150684931507</v>
      </c>
      <c r="G20" s="22" t="n">
        <v>0.008127754297496492</v>
      </c>
      <c r="H20" s="16" t="inlineStr">
        <is>
          <t>再現 0.7850%  |  差 0.0000bp</t>
        </is>
      </c>
    </row>
    <row r="21">
      <c r="A21" s="12" t="inlineStr">
        <is>
          <t>M4</t>
        </is>
      </c>
      <c r="B21" s="17" t="n">
        <v>46232</v>
      </c>
      <c r="C21" s="17" t="n">
        <v>46287</v>
      </c>
      <c r="D21" s="18" t="n">
        <v>55</v>
      </c>
      <c r="E21" s="11" t="n">
        <v>0.0081</v>
      </c>
      <c r="F21" s="20" t="n">
        <v>1.003439726027397</v>
      </c>
      <c r="G21" s="22" t="n">
        <v>0.008536186806208965</v>
      </c>
      <c r="H21" s="16" t="inlineStr">
        <is>
          <t>再現 0.8100%  |  差 0.0000bp</t>
        </is>
      </c>
    </row>
    <row r="22">
      <c r="A22" s="12" t="inlineStr">
        <is>
          <t>M5</t>
        </is>
      </c>
      <c r="B22" s="17" t="n">
        <v>46287</v>
      </c>
      <c r="C22" s="17" t="n">
        <v>46325</v>
      </c>
      <c r="D22" s="18" t="n">
        <v>38</v>
      </c>
      <c r="E22" s="11" t="n">
        <v>0.008399999999999999</v>
      </c>
      <c r="F22" s="20" t="n">
        <v>1.004441643835617</v>
      </c>
      <c r="G22" s="22" t="n">
        <v>0.009590694847837478</v>
      </c>
      <c r="H22" s="16" t="inlineStr">
        <is>
          <t>再現 0.8400%  |  差 0.0000bp</t>
        </is>
      </c>
    </row>
    <row r="23">
      <c r="A23" s="12" t="inlineStr">
        <is>
          <t>M6</t>
        </is>
      </c>
      <c r="B23" s="17" t="n">
        <v>46325</v>
      </c>
      <c r="C23" s="17" t="n">
        <v>46377</v>
      </c>
      <c r="D23" s="18" t="n">
        <v>52</v>
      </c>
      <c r="E23" s="11" t="n">
        <v>0.008699999999999999</v>
      </c>
      <c r="F23" s="20" t="n">
        <v>1.005839726027397</v>
      </c>
      <c r="G23" s="22" t="n">
        <v>0.009770066383336107</v>
      </c>
      <c r="H23" s="16" t="inlineStr">
        <is>
          <t>再現 0.8700%  |  差 0.0000bp</t>
        </is>
      </c>
    </row>
    <row r="24">
      <c r="A24" s="12" t="inlineStr">
        <is>
          <t>M7</t>
        </is>
      </c>
      <c r="B24" s="17" t="n">
        <v>46377</v>
      </c>
      <c r="C24" s="17" t="n">
        <v>46412</v>
      </c>
      <c r="D24" s="18" t="n">
        <v>35</v>
      </c>
      <c r="E24" s="11" t="n">
        <v>0.008999999999999999</v>
      </c>
      <c r="F24" s="20" t="n">
        <v>1.006904109589041</v>
      </c>
      <c r="G24" s="22" t="n">
        <v>0.0110355553800215</v>
      </c>
      <c r="H24" s="16" t="inlineStr">
        <is>
          <t>再現 0.9000%  |  差 0.0000bp</t>
        </is>
      </c>
    </row>
    <row r="25">
      <c r="A25" s="12" t="inlineStr">
        <is>
          <t>M8</t>
        </is>
      </c>
      <c r="B25" s="17" t="n">
        <v>46412</v>
      </c>
      <c r="C25" s="17" t="n">
        <v>46469</v>
      </c>
      <c r="D25" s="18" t="n">
        <v>57</v>
      </c>
      <c r="E25" s="11" t="n">
        <v>0.00925</v>
      </c>
      <c r="F25" s="20" t="n">
        <v>1.008540410958904</v>
      </c>
      <c r="G25" s="22" t="n">
        <v>0.0104062244613473</v>
      </c>
      <c r="H25" s="16" t="inlineStr">
        <is>
          <t>再現 0.9250%  |  差 0.0000bp</t>
        </is>
      </c>
    </row>
    <row r="27">
      <c r="A27" s="9" t="inlineStr">
        <is>
          <t>計算式: M_n = [(1 + R_n × D_n/365) / (1 + R_{n-1} × D_{n-1}/365) - 1] / (d_n/365)</t>
        </is>
      </c>
    </row>
    <row r="28">
      <c r="A28" s="9" t="inlineStr">
        <is>
          <t xml:space="preserve">   「逆算精度」列の差が 0bp なら計算が正確に一致しています。</t>
        </is>
      </c>
    </row>
  </sheetData>
  <mergeCells count="3">
    <mergeCell ref="A4:D4"/>
    <mergeCell ref="A16:H1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8" customWidth="1" min="8" max="8"/>
  </cols>
  <sheetData>
    <row r="1" ht="36" customHeight="1">
      <c r="A1" s="1" t="inlineStr">
        <is>
          <t>利上げパス → 理論 BOJグリッドレート・スポットOIS</t>
        </is>
      </c>
    </row>
    <row r="2">
      <c r="A2" s="9" t="inlineStr">
        <is>
          <t>各会合での利上げ幅（bp）を入力し、スクリプト再実行で理論グリッドレートとスポットOISを計算します。</t>
        </is>
      </c>
    </row>
    <row r="4">
      <c r="A4" s="2" t="inlineStr">
        <is>
          <t>入力: 利上げパス（各会合での政策金利変更幅）</t>
        </is>
      </c>
      <c r="B4" s="3" t="n"/>
      <c r="C4" s="3" t="n"/>
      <c r="D4" s="3" t="n"/>
      <c r="E4" s="3" t="n"/>
      <c r="F4" s="4" t="n"/>
    </row>
    <row r="5">
      <c r="A5" s="5" t="inlineStr">
        <is>
          <t>会合</t>
        </is>
      </c>
      <c r="B5" s="5" t="inlineStr">
        <is>
          <t>発表日</t>
        </is>
      </c>
      <c r="C5" s="5" t="inlineStr">
        <is>
          <t>利上げ幅 (bp) [入力]</t>
        </is>
      </c>
      <c r="D5" s="5" t="inlineStr">
        <is>
          <t>利上げ幅 (小数)</t>
        </is>
      </c>
      <c r="E5" s="5" t="inlineStr">
        <is>
          <t>期間中 政策金利</t>
        </is>
      </c>
      <c r="F5" s="5" t="inlineStr">
        <is>
          <t>期間中 政策金利(%)</t>
        </is>
      </c>
    </row>
    <row r="6">
      <c r="A6" s="12" t="inlineStr">
        <is>
          <t>現在</t>
        </is>
      </c>
      <c r="B6" s="17" t="n">
        <v>46128</v>
      </c>
      <c r="C6" s="23" t="inlineStr">
        <is>
          <t>—</t>
        </is>
      </c>
      <c r="D6" s="23" t="inlineStr">
        <is>
          <t>—</t>
        </is>
      </c>
      <c r="E6" s="24" t="n">
        <v>0.0075</v>
      </c>
      <c r="F6" s="23" t="inlineStr">
        <is>
          <t>0.750%</t>
        </is>
      </c>
    </row>
    <row r="7">
      <c r="A7" s="12" t="inlineStr">
        <is>
          <t>M1</t>
        </is>
      </c>
      <c r="B7" s="17" t="n">
        <v>46140</v>
      </c>
      <c r="C7" s="25" t="n">
        <v>0</v>
      </c>
      <c r="D7" s="19" t="n">
        <v>0</v>
      </c>
      <c r="E7" s="22" t="n">
        <v>0.0075</v>
      </c>
      <c r="F7" s="23" t="inlineStr">
        <is>
          <t>0.750%</t>
        </is>
      </c>
    </row>
    <row r="8">
      <c r="A8" s="12" t="inlineStr">
        <is>
          <t>M2</t>
        </is>
      </c>
      <c r="B8" s="17" t="n">
        <v>46190</v>
      </c>
      <c r="C8" s="25" t="n">
        <v>0</v>
      </c>
      <c r="D8" s="19" t="n">
        <v>0</v>
      </c>
      <c r="E8" s="22" t="n">
        <v>0.0075</v>
      </c>
      <c r="F8" s="23" t="inlineStr">
        <is>
          <t>0.750%</t>
        </is>
      </c>
    </row>
    <row r="9">
      <c r="A9" s="12" t="inlineStr">
        <is>
          <t>M3</t>
        </is>
      </c>
      <c r="B9" s="17" t="n">
        <v>46231</v>
      </c>
      <c r="C9" s="25" t="n">
        <v>25</v>
      </c>
      <c r="D9" s="19" t="n">
        <v>0.0025</v>
      </c>
      <c r="E9" s="22" t="n">
        <v>0.0075</v>
      </c>
      <c r="F9" s="23" t="inlineStr">
        <is>
          <t>0.750%</t>
        </is>
      </c>
    </row>
    <row r="10">
      <c r="A10" s="12" t="inlineStr">
        <is>
          <t>M4</t>
        </is>
      </c>
      <c r="B10" s="17" t="n">
        <v>46283</v>
      </c>
      <c r="C10" s="25" t="n">
        <v>0</v>
      </c>
      <c r="D10" s="19" t="n">
        <v>0</v>
      </c>
      <c r="E10" s="22" t="n">
        <v>0.01</v>
      </c>
      <c r="F10" s="23" t="inlineStr">
        <is>
          <t>1.000%</t>
        </is>
      </c>
    </row>
    <row r="11">
      <c r="A11" s="12" t="inlineStr">
        <is>
          <t>M5</t>
        </is>
      </c>
      <c r="B11" s="17" t="n">
        <v>46324</v>
      </c>
      <c r="C11" s="25" t="n">
        <v>0</v>
      </c>
      <c r="D11" s="19" t="n">
        <v>0</v>
      </c>
      <c r="E11" s="22" t="n">
        <v>0.01</v>
      </c>
      <c r="F11" s="23" t="inlineStr">
        <is>
          <t>1.000%</t>
        </is>
      </c>
    </row>
    <row r="12">
      <c r="A12" s="12" t="inlineStr">
        <is>
          <t>M6</t>
        </is>
      </c>
      <c r="B12" s="17" t="n">
        <v>46374</v>
      </c>
      <c r="C12" s="25" t="n">
        <v>25</v>
      </c>
      <c r="D12" s="19" t="n">
        <v>0.0025</v>
      </c>
      <c r="E12" s="22" t="n">
        <v>0.01</v>
      </c>
      <c r="F12" s="23" t="inlineStr">
        <is>
          <t>1.000%</t>
        </is>
      </c>
    </row>
    <row r="13">
      <c r="A13" s="12" t="inlineStr">
        <is>
          <t>M7</t>
        </is>
      </c>
      <c r="B13" s="17" t="n">
        <v>46409</v>
      </c>
      <c r="C13" s="25" t="n">
        <v>0</v>
      </c>
      <c r="D13" s="19" t="n">
        <v>0</v>
      </c>
      <c r="E13" s="22" t="n">
        <v>0.0125</v>
      </c>
      <c r="F13" s="23" t="inlineStr">
        <is>
          <t>1.250%</t>
        </is>
      </c>
    </row>
    <row r="14">
      <c r="A14" s="12" t="inlineStr">
        <is>
          <t>M8</t>
        </is>
      </c>
      <c r="B14" s="17" t="n">
        <v>46465</v>
      </c>
      <c r="C14" s="25" t="n">
        <v>0</v>
      </c>
      <c r="D14" s="19" t="n">
        <v>0</v>
      </c>
      <c r="E14" s="22" t="n">
        <v>0.0125</v>
      </c>
      <c r="F14" s="23" t="inlineStr">
        <is>
          <t>1.250%</t>
        </is>
      </c>
    </row>
    <row r="15">
      <c r="A15" s="26" t="inlineStr">
        <is>
          <t>M8後</t>
        </is>
      </c>
      <c r="E15" s="24" t="n">
        <v>0.0125</v>
      </c>
      <c r="F15" s="23" t="inlineStr">
        <is>
          <t>1.250%</t>
        </is>
      </c>
    </row>
    <row r="16">
      <c r="A16" s="9" t="inlineStr">
        <is>
          <t>※「期間中 政策金利」= その期間（M_n の OIS が参照する区間）での政策金利。M_n の会合での決定は M_{n+1} 期間から反映される。</t>
        </is>
      </c>
    </row>
    <row r="18">
      <c r="A18" s="2" t="inlineStr">
        <is>
          <t>理論 BOJ グリッドレート（M1〜M8）</t>
        </is>
      </c>
      <c r="B18" s="3" t="n"/>
      <c r="C18" s="3" t="n"/>
      <c r="D18" s="3" t="n"/>
      <c r="E18" s="3" t="n"/>
      <c r="F18" s="3" t="n"/>
      <c r="G18" s="3" t="n"/>
      <c r="H18" s="4" t="n"/>
    </row>
    <row r="19">
      <c r="A19" s="5" t="inlineStr">
        <is>
          <t>会合</t>
        </is>
      </c>
      <c r="B19" s="5" t="inlineStr">
        <is>
          <t>開始日</t>
        </is>
      </c>
      <c r="C19" s="5" t="inlineStr">
        <is>
          <t>終了日</t>
        </is>
      </c>
      <c r="D19" s="5" t="inlineStr">
        <is>
          <t>日数</t>
        </is>
      </c>
      <c r="E19" s="5" t="inlineStr">
        <is>
          <t>理論グリッドレート</t>
        </is>
      </c>
      <c r="F19" s="5" t="inlineStr">
        <is>
          <t>累積複利係数</t>
        </is>
      </c>
      <c r="G19" s="5" t="inlineStr">
        <is>
          <t>理論スポットOIS</t>
        </is>
      </c>
      <c r="H19" s="5" t="inlineStr"/>
    </row>
    <row r="20">
      <c r="A20" s="12" t="inlineStr">
        <is>
          <t>M1</t>
        </is>
      </c>
      <c r="B20" s="17" t="n">
        <v>46132</v>
      </c>
      <c r="C20" s="17" t="n">
        <v>46142</v>
      </c>
      <c r="D20" s="18" t="n">
        <v>10</v>
      </c>
      <c r="E20" s="22" t="n">
        <v>0.0075</v>
      </c>
      <c r="F20" s="20" t="n">
        <v>1.000205479452055</v>
      </c>
      <c r="G20" s="22" t="n">
        <v>0.007499999999997842</v>
      </c>
    </row>
    <row r="21">
      <c r="A21" s="12" t="inlineStr">
        <is>
          <t>M2</t>
        </is>
      </c>
      <c r="B21" s="17" t="n">
        <v>46142</v>
      </c>
      <c r="C21" s="17" t="n">
        <v>46191</v>
      </c>
      <c r="D21" s="18" t="n">
        <v>49</v>
      </c>
      <c r="E21" s="22" t="n">
        <v>0.0075</v>
      </c>
      <c r="F21" s="20" t="n">
        <v>1.001212535653969</v>
      </c>
      <c r="G21" s="22" t="n">
        <v>0.007501279893197736</v>
      </c>
    </row>
    <row r="22">
      <c r="A22" s="12" t="inlineStr">
        <is>
          <t>M3</t>
        </is>
      </c>
      <c r="B22" s="17" t="n">
        <v>46191</v>
      </c>
      <c r="C22" s="17" t="n">
        <v>46232</v>
      </c>
      <c r="D22" s="18" t="n">
        <v>41</v>
      </c>
      <c r="E22" s="22" t="n">
        <v>0.0075</v>
      </c>
      <c r="F22" s="20" t="n">
        <v>1.002056022927157</v>
      </c>
      <c r="G22" s="22" t="n">
        <v>0.007504483684122676</v>
      </c>
    </row>
    <row r="23">
      <c r="A23" s="12" t="inlineStr">
        <is>
          <t>M4</t>
        </is>
      </c>
      <c r="B23" s="17" t="n">
        <v>46232</v>
      </c>
      <c r="C23" s="17" t="n">
        <v>46287</v>
      </c>
      <c r="D23" s="18" t="n">
        <v>55</v>
      </c>
      <c r="E23" s="22" t="n">
        <v>0.01</v>
      </c>
      <c r="F23" s="20" t="n">
        <v>1.003565970358965</v>
      </c>
      <c r="G23" s="22" t="n">
        <v>0.008397285038853061</v>
      </c>
    </row>
    <row r="24">
      <c r="A24" s="12" t="inlineStr">
        <is>
          <t>M5</t>
        </is>
      </c>
      <c r="B24" s="17" t="n">
        <v>46287</v>
      </c>
      <c r="C24" s="17" t="n">
        <v>46325</v>
      </c>
      <c r="D24" s="18" t="n">
        <v>38</v>
      </c>
      <c r="E24" s="22" t="n">
        <v>0.01</v>
      </c>
      <c r="F24" s="20" t="n">
        <v>1.004610778766462</v>
      </c>
      <c r="G24" s="22" t="n">
        <v>0.008719866579060234</v>
      </c>
    </row>
    <row r="25">
      <c r="A25" s="12" t="inlineStr">
        <is>
          <t>M6</t>
        </is>
      </c>
      <c r="B25" s="17" t="n">
        <v>46325</v>
      </c>
      <c r="C25" s="17" t="n">
        <v>46377</v>
      </c>
      <c r="D25" s="18" t="n">
        <v>52</v>
      </c>
      <c r="E25" s="22" t="n">
        <v>0.01</v>
      </c>
      <c r="F25" s="20" t="n">
        <v>1.006042005081417</v>
      </c>
      <c r="G25" s="22" t="n">
        <v>0.009001354509049736</v>
      </c>
    </row>
    <row r="26">
      <c r="A26" s="12" t="inlineStr">
        <is>
          <t>M7</t>
        </is>
      </c>
      <c r="B26" s="17" t="n">
        <v>46377</v>
      </c>
      <c r="C26" s="17" t="n">
        <v>46412</v>
      </c>
      <c r="D26" s="18" t="n">
        <v>35</v>
      </c>
      <c r="E26" s="22" t="n">
        <v>0.0125</v>
      </c>
      <c r="F26" s="20" t="n">
        <v>1.007247877347782</v>
      </c>
      <c r="G26" s="22" t="n">
        <v>0.009448125828358368</v>
      </c>
    </row>
    <row r="27">
      <c r="A27" s="12" t="inlineStr">
        <is>
          <t>M8</t>
        </is>
      </c>
      <c r="B27" s="17" t="n">
        <v>46412</v>
      </c>
      <c r="C27" s="17" t="n">
        <v>46469</v>
      </c>
      <c r="D27" s="18" t="n">
        <v>57</v>
      </c>
      <c r="E27" s="22" t="n">
        <v>0.0125</v>
      </c>
      <c r="F27" s="20" t="n">
        <v>1.009214080396029</v>
      </c>
      <c r="G27" s="22" t="n">
        <v>0.009979641971960435</v>
      </c>
    </row>
    <row r="29">
      <c r="A29" s="2" t="inlineStr">
        <is>
          <t>理論スポット OIS（標準テナー）</t>
        </is>
      </c>
      <c r="B29" s="3" t="n"/>
      <c r="C29" s="3" t="n"/>
      <c r="D29" s="4" t="n"/>
    </row>
    <row r="30">
      <c r="A30" s="5" t="inlineStr">
        <is>
          <t>テナー</t>
        </is>
      </c>
      <c r="B30" s="5" t="inlineStr">
        <is>
          <t>満期日</t>
        </is>
      </c>
      <c r="C30" s="5" t="inlineStr">
        <is>
          <t>日数</t>
        </is>
      </c>
      <c r="D30" s="5" t="inlineStr">
        <is>
          <t>理論スポットOIS</t>
        </is>
      </c>
      <c r="E30" s="5" t="inlineStr"/>
      <c r="F30" s="5" t="inlineStr"/>
      <c r="G30" s="5" t="inlineStr"/>
      <c r="H30" s="5" t="inlineStr"/>
    </row>
    <row r="31">
      <c r="A31" s="12" t="inlineStr">
        <is>
          <t>1M</t>
        </is>
      </c>
      <c r="B31" s="17" t="n">
        <v>46162</v>
      </c>
      <c r="C31" s="18" t="n">
        <v>30</v>
      </c>
      <c r="D31" s="22" t="n">
        <v>0.007501027397259516</v>
      </c>
    </row>
    <row r="32">
      <c r="A32" s="12" t="inlineStr">
        <is>
          <t>3M</t>
        </is>
      </c>
      <c r="B32" s="17" t="n">
        <v>46224</v>
      </c>
      <c r="C32" s="18" t="n">
        <v>92</v>
      </c>
      <c r="D32" s="22" t="n">
        <v>0.007504082785576825</v>
      </c>
    </row>
    <row r="33">
      <c r="A33" s="12" t="inlineStr">
        <is>
          <t>6M</t>
        </is>
      </c>
      <c r="B33" s="17" t="n">
        <v>46314</v>
      </c>
      <c r="C33" s="18" t="n">
        <v>182</v>
      </c>
      <c r="D33" s="22" t="n">
        <v>0.008640340620984724</v>
      </c>
    </row>
    <row r="34">
      <c r="A34" s="12" t="inlineStr">
        <is>
          <t>9M</t>
        </is>
      </c>
      <c r="B34" s="17" t="n">
        <v>46405</v>
      </c>
      <c r="C34" s="18" t="n">
        <v>273</v>
      </c>
      <c r="D34" s="22" t="n">
        <v>0.009367936104379717</v>
      </c>
    </row>
    <row r="35">
      <c r="A35" s="12" t="inlineStr">
        <is>
          <t>12M</t>
        </is>
      </c>
      <c r="B35" s="17" t="n">
        <v>46497</v>
      </c>
      <c r="C35" s="18" t="n">
        <v>365</v>
      </c>
      <c r="D35" s="23" t="inlineStr">
        <is>
          <t>—</t>
        </is>
      </c>
    </row>
    <row r="36">
      <c r="A36" s="12" t="inlineStr">
        <is>
          <t>15M</t>
        </is>
      </c>
      <c r="B36" s="17" t="n">
        <v>46588</v>
      </c>
      <c r="C36" s="18" t="n">
        <v>456</v>
      </c>
      <c r="D36" s="23" t="inlineStr">
        <is>
          <t>—</t>
        </is>
      </c>
    </row>
    <row r="37">
      <c r="A37" s="12" t="inlineStr">
        <is>
          <t>18M</t>
        </is>
      </c>
      <c r="B37" s="17" t="n">
        <v>46679</v>
      </c>
      <c r="C37" s="18" t="n">
        <v>547</v>
      </c>
      <c r="D37" s="23" t="inlineStr">
        <is>
          <t>—</t>
        </is>
      </c>
    </row>
    <row r="38">
      <c r="A38" s="12" t="inlineStr">
        <is>
          <t>2Y</t>
        </is>
      </c>
      <c r="B38" s="17" t="n">
        <v>46862</v>
      </c>
      <c r="C38" s="18" t="n">
        <v>730</v>
      </c>
      <c r="D38" s="23" t="inlineStr">
        <is>
          <t>—</t>
        </is>
      </c>
    </row>
    <row r="40">
      <c r="A40" s="9" t="inlineStr">
        <is>
          <t>計算前提: 確率論的不確実性なし（指定パスの確実実現を仮定した理論値）。</t>
        </is>
      </c>
    </row>
    <row r="41">
      <c r="A41" s="9" t="inlineStr">
        <is>
          <t xml:space="preserve">   市場レートとの差 = タームプレミアム・流動性プレミアム等。</t>
        </is>
      </c>
    </row>
  </sheetData>
  <mergeCells count="4">
    <mergeCell ref="A18:H18"/>
    <mergeCell ref="A29:D29"/>
    <mergeCell ref="A4:F4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2026-04-19T12:40:37Z</dcterms:created>
  <dcterms:modified xsi:type="dcterms:W3CDTF">2026-04-19T12:40:37Z</dcterms:modified>
</cp:coreProperties>
</file>